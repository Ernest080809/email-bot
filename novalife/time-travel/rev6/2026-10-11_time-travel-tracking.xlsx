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Wochen" sheetId="2" state="visible" r:id="rId2"/>
    <sheet xmlns:r="http://schemas.openxmlformats.org/officeDocument/2006/relationships" name="Kasse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Ausgaben" sheetId="5" state="visible" r:id="rId5"/>
    <sheet xmlns:r="http://schemas.openxmlformats.org/officeDocument/2006/relationships" name="Gates" sheetId="6" state="visible" r:id="rId6"/>
    <sheet xmlns:r="http://schemas.openxmlformats.org/officeDocument/2006/relationships" name="Warteliste" sheetId="7" state="visible" r:id="rId7"/>
    <sheet xmlns:r="http://schemas.openxmlformats.org/officeDocument/2006/relationships" name="Content" sheetId="8" state="visible" r:id="rId8"/>
    <sheet xmlns:r="http://schemas.openxmlformats.org/officeDocument/2006/relationships" name="Die ersten 35" sheetId="9" state="visible" r:id="rId9"/>
    <sheet xmlns:r="http://schemas.openxmlformats.org/officeDocument/2006/relationships" name="Netz" sheetId="10" state="visible" r:id="rId10"/>
    <sheet xmlns:r="http://schemas.openxmlformats.org/officeDocument/2006/relationships" name="Gespräche" sheetId="11" state="visible" r:id="rId11"/>
    <sheet xmlns:r="http://schemas.openxmlformats.org/officeDocument/2006/relationships" name="Schnelltest" sheetId="12" state="visible" r:id="rId12"/>
    <sheet xmlns:r="http://schemas.openxmlformats.org/officeDocument/2006/relationships" name="Fabriken" sheetId="13" state="visible" r:id="rId13"/>
    <sheet xmlns:r="http://schemas.openxmlformats.org/officeDocument/2006/relationships" name="Sticker" sheetId="14" state="visible" r:id="rId14"/>
    <sheet xmlns:r="http://schemas.openxmlformats.org/officeDocument/2006/relationships" name="Patches" sheetId="15" state="visible" r:id="rId15"/>
    <sheet xmlns:r="http://schemas.openxmlformats.org/officeDocument/2006/relationships" name="Creator" sheetId="16" state="visible" r:id="rId16"/>
    <sheet xmlns:r="http://schemas.openxmlformats.org/officeDocument/2006/relationships" name="Presse" sheetId="17" state="visible" r:id="rId17"/>
    <sheet xmlns:r="http://schemas.openxmlformats.org/officeDocument/2006/relationships" name="Orte" sheetId="18" state="visible" r:id="rId18"/>
    <sheet xmlns:r="http://schemas.openxmlformats.org/officeDocument/2006/relationships" name="Berlin" sheetId="19" state="visible" r:id="rId19"/>
    <sheet xmlns:r="http://schemas.openxmlformats.org/officeDocument/2006/relationships" name="Abende" sheetId="20" state="visible" r:id="rId20"/>
    <sheet xmlns:r="http://schemas.openxmlformats.org/officeDocument/2006/relationships" name="Shoot" sheetId="21" state="visible" r:id="rId21"/>
    <sheet xmlns:r="http://schemas.openxmlformats.org/officeDocument/2006/relationships" name="Proto" sheetId="22" state="visible" r:id="rId22"/>
    <sheet xmlns:r="http://schemas.openxmlformats.org/officeDocument/2006/relationships" name="QC" sheetId="23" state="visible" r:id="rId23"/>
    <sheet xmlns:r="http://schemas.openxmlformats.org/officeDocument/2006/relationships" name="Pre-Order" sheetId="24" state="visible" r:id="rId24"/>
    <sheet xmlns:r="http://schemas.openxmlformats.org/officeDocument/2006/relationships" name="Nummern" sheetId="25" state="visible" r:id="rId25"/>
    <sheet xmlns:r="http://schemas.openxmlformats.org/officeDocument/2006/relationships" name="Bestand" sheetId="26" state="visible" r:id="rId26"/>
    <sheet xmlns:r="http://schemas.openxmlformats.org/officeDocument/2006/relationships" name="Retouren" sheetId="27" state="visible" r:id="rId27"/>
    <sheet xmlns:r="http://schemas.openxmlformats.org/officeDocument/2006/relationships" name="Kaufgrund" sheetId="28" state="visible" r:id="rId28"/>
    <sheet xmlns:r="http://schemas.openxmlformats.org/officeDocument/2006/relationships" name="Drop" sheetId="29" state="visible" r:id="rId29"/>
    <sheet xmlns:r="http://schemas.openxmlformats.org/officeDocument/2006/relationships" name="Website" sheetId="30" state="visible" r:id="rId30"/>
    <sheet xmlns:r="http://schemas.openxmlformats.org/officeDocument/2006/relationships" name="Tools" sheetId="31" state="visible" r:id="rId31"/>
    <sheet xmlns:r="http://schemas.openxmlformats.org/officeDocument/2006/relationships" name="Recht" sheetId="32" state="visible" r:id="rId32"/>
    <sheet xmlns:r="http://schemas.openxmlformats.org/officeDocument/2006/relationships" name="Entscheidungen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"/>
    <numFmt numFmtId="166" formatCode="#,##0 &quot;€&quot;"/>
    <numFmt numFmtId="167" formatCode="+0.0;-0.0;0.0"/>
  </numFmts>
  <fonts count="9">
    <font>
      <name val="Calibri"/>
      <family val="2"/>
      <color theme="1"/>
      <sz val="11"/>
      <scheme val="minor"/>
    </font>
    <font>
      <b val="1"/>
      <color rgb="0016181D"/>
      <sz val="16"/>
    </font>
    <font>
      <b val="1"/>
      <color rgb="008F6518"/>
    </font>
    <font>
      <b val="1"/>
      <color rgb="00FFFFFF"/>
    </font>
    <font>
      <b val="1"/>
      <color rgb="0016181D"/>
      <sz val="14"/>
    </font>
    <font>
      <i val="1"/>
      <color rgb="004A4E58"/>
      <sz val="10"/>
    </font>
    <font>
      <b val="1"/>
      <color rgb="00FFFFFF"/>
      <sz val="10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6181D"/>
      </patternFill>
    </fill>
    <fill>
      <patternFill patternType="solid">
        <fgColor rgb="00F1E2B8"/>
      </patternFill>
    </fill>
    <fill>
      <patternFill patternType="solid">
        <fgColor rgb="00E2D9C2"/>
      </patternFill>
    </fill>
    <fill>
      <patternFill patternType="solid">
        <fgColor rgb="00EFEDE6"/>
      </patternFill>
    </fill>
  </fills>
  <borders count="2">
    <border>
      <left/>
      <right/>
      <top/>
      <bottom/>
      <diagonal/>
    </border>
    <border>
      <left style="thin">
        <color rgb="00C4C1B5"/>
      </left>
      <right style="thin">
        <color rgb="00C4C1B5"/>
      </right>
      <top style="thin">
        <color rgb="00C4C1B5"/>
      </top>
      <bottom style="thin">
        <color rgb="00C4C1B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/>
    </xf>
    <xf numFmtId="0" fontId="0" fillId="3" borderId="1" pivotButton="0" quotePrefix="0" xfId="0"/>
    <xf numFmtId="0" fontId="6" fillId="2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vertical="top"/>
    </xf>
    <xf numFmtId="165" fontId="0" fillId="0" borderId="0" pivotButton="0" quotePrefix="0" xfId="0"/>
    <xf numFmtId="0" fontId="0" fillId="4" borderId="0" applyAlignment="1" pivotButton="0" quotePrefix="0" xfId="0">
      <alignment vertical="top"/>
    </xf>
    <xf numFmtId="0" fontId="7" fillId="5" borderId="0" pivotButton="0" quotePrefix="0" xfId="0"/>
    <xf numFmtId="166" fontId="7" fillId="5" borderId="0" pivotButton="0" quotePrefix="0" xfId="0"/>
    <xf numFmtId="1" fontId="7" fillId="5" borderId="0" pivotButton="0" quotePrefix="0" xfId="0"/>
    <xf numFmtId="0" fontId="6" fillId="0" borderId="0" applyAlignment="1" pivotButton="0" quotePrefix="0" xfId="0">
      <alignment vertical="center" wrapText="1"/>
    </xf>
    <xf numFmtId="0" fontId="8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FDCD3"/>
        </patternFill>
      </fill>
    </dxf>
    <dxf>
      <fill>
        <patternFill patternType="solid">
          <fgColor rgb="00F1E2B8"/>
        </patternFill>
      </fill>
    </dxf>
    <dxf>
      <fill>
        <patternFill patternType="solid">
          <fgColor rgb="00E6D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Wochen'!A1" TargetMode="External" Id="rId1"/><Relationship Type="http://schemas.openxmlformats.org/officeDocument/2006/relationships/hyperlink" Target="#'Kasse'!A1" TargetMode="External" Id="rId2"/><Relationship Type="http://schemas.openxmlformats.org/officeDocument/2006/relationships/hyperlink" Target="#'Budget'!A1" TargetMode="External" Id="rId3"/><Relationship Type="http://schemas.openxmlformats.org/officeDocument/2006/relationships/hyperlink" Target="#'Ausgaben'!A1" TargetMode="External" Id="rId4"/><Relationship Type="http://schemas.openxmlformats.org/officeDocument/2006/relationships/hyperlink" Target="#'Gates'!A1" TargetMode="External" Id="rId5"/><Relationship Type="http://schemas.openxmlformats.org/officeDocument/2006/relationships/hyperlink" Target="#'Warteliste'!A1" TargetMode="External" Id="rId6"/><Relationship Type="http://schemas.openxmlformats.org/officeDocument/2006/relationships/hyperlink" Target="#'Content'!A1" TargetMode="External" Id="rId7"/><Relationship Type="http://schemas.openxmlformats.org/officeDocument/2006/relationships/hyperlink" Target="#'Die ersten 35'!A1" TargetMode="External" Id="rId8"/><Relationship Type="http://schemas.openxmlformats.org/officeDocument/2006/relationships/hyperlink" Target="#'Netz'!A1" TargetMode="External" Id="rId9"/><Relationship Type="http://schemas.openxmlformats.org/officeDocument/2006/relationships/hyperlink" Target="#'Gespr&#228;che'!A1" TargetMode="External" Id="rId10"/><Relationship Type="http://schemas.openxmlformats.org/officeDocument/2006/relationships/hyperlink" Target="#'Schnelltest'!A1" TargetMode="External" Id="rId11"/><Relationship Type="http://schemas.openxmlformats.org/officeDocument/2006/relationships/hyperlink" Target="#'Fabriken'!A1" TargetMode="External" Id="rId12"/><Relationship Type="http://schemas.openxmlformats.org/officeDocument/2006/relationships/hyperlink" Target="#'Sticker'!A1" TargetMode="External" Id="rId13"/><Relationship Type="http://schemas.openxmlformats.org/officeDocument/2006/relationships/hyperlink" Target="#'Patches'!A1" TargetMode="External" Id="rId14"/><Relationship Type="http://schemas.openxmlformats.org/officeDocument/2006/relationships/hyperlink" Target="#'Creator'!A1" TargetMode="External" Id="rId15"/><Relationship Type="http://schemas.openxmlformats.org/officeDocument/2006/relationships/hyperlink" Target="#'Presse'!A1" TargetMode="External" Id="rId16"/><Relationship Type="http://schemas.openxmlformats.org/officeDocument/2006/relationships/hyperlink" Target="#'Orte'!A1" TargetMode="External" Id="rId17"/><Relationship Type="http://schemas.openxmlformats.org/officeDocument/2006/relationships/hyperlink" Target="#'Berlin'!A1" TargetMode="External" Id="rId18"/><Relationship Type="http://schemas.openxmlformats.org/officeDocument/2006/relationships/hyperlink" Target="#'Abende'!A1" TargetMode="External" Id="rId19"/><Relationship Type="http://schemas.openxmlformats.org/officeDocument/2006/relationships/hyperlink" Target="#'Shoot'!A1" TargetMode="External" Id="rId20"/><Relationship Type="http://schemas.openxmlformats.org/officeDocument/2006/relationships/hyperlink" Target="#'Proto'!A1" TargetMode="External" Id="rId21"/><Relationship Type="http://schemas.openxmlformats.org/officeDocument/2006/relationships/hyperlink" Target="#'QC'!A1" TargetMode="External" Id="rId22"/><Relationship Type="http://schemas.openxmlformats.org/officeDocument/2006/relationships/hyperlink" Target="#'Pre-Order'!A1" TargetMode="External" Id="rId23"/><Relationship Type="http://schemas.openxmlformats.org/officeDocument/2006/relationships/hyperlink" Target="#'Nummern'!A1" TargetMode="External" Id="rId24"/><Relationship Type="http://schemas.openxmlformats.org/officeDocument/2006/relationships/hyperlink" Target="#'Bestand'!A1" TargetMode="External" Id="rId25"/><Relationship Type="http://schemas.openxmlformats.org/officeDocument/2006/relationships/hyperlink" Target="#'Retouren'!A1" TargetMode="External" Id="rId26"/><Relationship Type="http://schemas.openxmlformats.org/officeDocument/2006/relationships/hyperlink" Target="#'Kaufgrund'!A1" TargetMode="External" Id="rId27"/><Relationship Type="http://schemas.openxmlformats.org/officeDocument/2006/relationships/hyperlink" Target="#'Drop'!A1" TargetMode="External" Id="rId28"/><Relationship Type="http://schemas.openxmlformats.org/officeDocument/2006/relationships/hyperlink" Target="#'Website'!A1" TargetMode="External" Id="rId29"/><Relationship Type="http://schemas.openxmlformats.org/officeDocument/2006/relationships/hyperlink" Target="#'Tools'!A1" TargetMode="External" Id="rId30"/><Relationship Type="http://schemas.openxmlformats.org/officeDocument/2006/relationships/hyperlink" Target="#'Recht'!A1" TargetMode="External" Id="rId31"/><Relationship Type="http://schemas.openxmlformats.org/officeDocument/2006/relationships/hyperlink" Target="#'Entscheidungen'!A1" TargetMode="External" Id="rId32"/></Relationships>
</file>

<file path=xl/worksheets/sheet1.xml><?xml version="1.0" encoding="utf-8"?>
<worksheet xmlns="http://schemas.openxmlformats.org/spreadsheetml/2006/main">
  <sheetPr>
    <tabColor rgb="0016181D"/>
    <outlinePr summaryBelow="1" summaryRight="1"/>
    <pageSetUpPr/>
  </sheetPr>
  <dimension ref="A1:B3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Time Travel Tracking · Novalife</t>
        </is>
      </c>
    </row>
    <row r="2">
      <c r="A2" s="2" t="inlineStr">
        <is>
          <t>Gehört zum Time Travel Drop Docket (Rev. 6). Jede Aufgabe, die „Blatt …“ sagt, meint ein Blatt dieser Tabelle.</t>
        </is>
      </c>
      <c r="B2" s="3" t="n"/>
    </row>
    <row r="3">
      <c r="A3" s="2" t="inlineStr">
        <is>
          <t>Docket</t>
        </is>
      </c>
      <c r="B3" s="3" t="inlineStr">
        <is>
          <t>https://claude.ai/artifact/RCciF8jMPSGhgdcQiHAQTm</t>
        </is>
      </c>
    </row>
    <row r="4">
      <c r="A4" s="2" t="inlineStr">
        <is>
          <t>Regel</t>
        </is>
      </c>
      <c r="B4" s="3" t="inlineStr">
        <is>
          <t>Ethnische Herkunft nie neben Name oder E-Mail speichern (Art. 9 DSGVO). In „Gespräche“ und „Schnelltest“ nur Codes wie P1 oder G1.</t>
        </is>
      </c>
    </row>
    <row r="5">
      <c r="A5" s="2" t="inlineStr">
        <is>
          <t>Sonntag</t>
        </is>
      </c>
      <c r="B5" s="3" t="inlineStr">
        <is>
          <t>Wochenreview: zuerst „Wochen“ (4 Zahlen), dann „Kasse“ (K, V, F, R), dann „Gates“. Die gleichen 4 Zahlen trägst du auch ins Zahlen-Cockpit im Docket ein.</t>
        </is>
      </c>
    </row>
    <row r="7">
      <c r="A7" s="4" t="inlineStr">
        <is>
          <t>Blatt</t>
        </is>
      </c>
      <c r="B7" s="4" t="inlineStr">
        <is>
          <t>Wofür</t>
        </is>
      </c>
    </row>
    <row r="8">
      <c r="A8" s="5" t="inlineStr">
        <is>
          <t>Wochen</t>
        </is>
      </c>
      <c r="B8" t="inlineStr">
        <is>
          <t>Sonntags-Zahlen gegen Soll und Alarm, mit Ampel und dem Gate der Woche.</t>
        </is>
      </c>
    </row>
    <row r="9">
      <c r="A9" s="5" t="inlineStr">
        <is>
          <t>Kasse</t>
        </is>
      </c>
      <c r="B9" t="inlineStr">
        <is>
          <t>Kassen-Ampel K − F − R, jeden Sonntag.</t>
        </is>
      </c>
    </row>
    <row r="10">
      <c r="A10" s="5" t="inlineStr">
        <is>
          <t>Budget</t>
        </is>
      </c>
      <c r="B10" t="inlineStr">
        <is>
          <t>Plan-Posten aus Rev. 6 gegen Ist, dazu die Zeilen „ungeplant“ und ihre Wirkung auf Schwelle 2a.</t>
        </is>
      </c>
    </row>
    <row r="11">
      <c r="A11" s="5" t="inlineStr">
        <is>
          <t>Ausgaben</t>
        </is>
      </c>
      <c r="B11" t="inlineStr">
        <is>
          <t>Jede einzelne Zahlung mit Beleg.</t>
        </is>
      </c>
    </row>
    <row r="12">
      <c r="A12" s="5" t="inlineStr">
        <is>
          <t>Gates</t>
        </is>
      </c>
      <c r="B12" t="inlineStr">
        <is>
          <t>Alle harten Gates mit Regel; Ergebnis und Entscheidung je Termin.</t>
        </is>
      </c>
    </row>
    <row r="13">
      <c r="A13" s="5" t="inlineStr">
        <is>
          <t>Warteliste</t>
        </is>
      </c>
      <c r="B13" t="inlineStr">
        <is>
          <t>Stand der bestätigten Liste mit Zuwachs und Quelle.</t>
        </is>
      </c>
    </row>
    <row r="14">
      <c r="A14" s="5" t="inlineStr">
        <is>
          <t>Content</t>
        </is>
      </c>
      <c r="B14" t="inlineStr">
        <is>
          <t>298 Zeilen: alle Videos der Bibliothek und der Countdown, je TikTok und Instagram.</t>
        </is>
      </c>
    </row>
    <row r="15">
      <c r="A15" s="5" t="inlineStr">
        <is>
          <t>Die ersten 35</t>
        </is>
      </c>
      <c r="B15" t="inlineStr">
        <is>
          <t>Zusagen-Liste für die Schwellen; der Zähler oben rechts zählt nur echte Zusagen.</t>
        </is>
      </c>
    </row>
    <row r="16">
      <c r="A16" s="5" t="inlineStr">
        <is>
          <t>Netz</t>
        </is>
      </c>
      <c r="B16" t="inlineStr">
        <is>
          <t>Wen du persönlich anschreibst und was daraus wird.</t>
        </is>
      </c>
    </row>
    <row r="17">
      <c r="A17" s="5" t="inlineStr">
        <is>
          <t>Gespräche</t>
        </is>
      </c>
      <c r="B17" t="inlineStr">
        <is>
          <t>Interviews mit Codes, ohne Namen neben der Herkunft.</t>
        </is>
      </c>
    </row>
    <row r="18">
      <c r="A18" s="5" t="inlineStr">
        <is>
          <t>Schnelltest</t>
        </is>
      </c>
      <c r="B18" t="inlineStr">
        <is>
          <t>Papiertest-3-Antworten P1–P10 mit Zähler für die Serp-Regel.</t>
        </is>
      </c>
    </row>
    <row r="19">
      <c r="A19" s="5" t="inlineStr">
        <is>
          <t>Fabriken</t>
        </is>
      </c>
      <c r="B19" t="inlineStr">
        <is>
          <t>Die 8 Anfragen: Prüfung, Antworten, Preise, Konditionen.</t>
        </is>
      </c>
    </row>
    <row r="20">
      <c r="A20" s="5" t="inlineStr">
        <is>
          <t>Sticker</t>
        </is>
      </c>
      <c r="B20" t="inlineStr">
        <is>
          <t>Berliner Sticker für Zipper und Polo.</t>
        </is>
      </c>
    </row>
    <row r="21">
      <c r="A21" s="5" t="inlineStr">
        <is>
          <t>Patches</t>
        </is>
      </c>
      <c r="B21" t="inlineStr">
        <is>
          <t>Label-Patch D und Chenille: Anbieter, Muster, Waschtest.</t>
        </is>
      </c>
    </row>
    <row r="22">
      <c r="A22" s="5" t="inlineStr">
        <is>
          <t>Creator</t>
        </is>
      </c>
      <c r="B22" t="inlineStr">
        <is>
          <t>Creator von Longlist bis Story im April.</t>
        </is>
      </c>
    </row>
    <row r="23">
      <c r="A23" s="5" t="inlineStr">
        <is>
          <t>Presse</t>
        </is>
      </c>
      <c r="B23" t="inlineStr">
        <is>
          <t>Medien, Wellen, Antworten.</t>
        </is>
      </c>
    </row>
    <row r="24">
      <c r="A24" s="5" t="inlineStr">
        <is>
          <t>Orte</t>
        </is>
      </c>
      <c r="B24" t="inlineStr">
        <is>
          <t>Läden und Räume für die Abende.</t>
        </is>
      </c>
    </row>
    <row r="25">
      <c r="A25" s="5" t="inlineStr">
        <is>
          <t>Berlin</t>
        </is>
      </c>
      <c r="B25" t="inlineStr">
        <is>
          <t>Feedback aus Läden und von Märkten.</t>
        </is>
      </c>
    </row>
    <row r="26">
      <c r="A26" s="5" t="inlineStr">
        <is>
          <t>Abende</t>
        </is>
      </c>
      <c r="B26" t="inlineStr">
        <is>
          <t>Gäste je Abend bis zur Bestellung.</t>
        </is>
      </c>
    </row>
    <row r="27">
      <c r="A27" s="5" t="inlineStr">
        <is>
          <t>Shoot</t>
        </is>
      </c>
      <c r="B27" t="inlineStr">
        <is>
          <t>Team und Rechte für den Shoot.</t>
        </is>
      </c>
    </row>
    <row r="28">
      <c r="A28" s="5" t="inlineStr">
        <is>
          <t>Proto</t>
        </is>
      </c>
      <c r="B28" t="inlineStr">
        <is>
          <t>10 Messpunkte W32 mit Soll, Toleranz und automatischem ok/raus.</t>
        </is>
      </c>
    </row>
    <row r="29">
      <c r="A29" s="5" t="inlineStr">
        <is>
          <t>QC</t>
        </is>
      </c>
      <c r="B29" t="inlineStr">
        <is>
          <t>Wareneingang: Stichprobe je Karton.</t>
        </is>
      </c>
    </row>
    <row r="30">
      <c r="A30" s="5" t="inlineStr">
        <is>
          <t>Pre-Order</t>
        </is>
      </c>
      <c r="B30" t="inlineStr">
        <is>
          <t>Jede Vorbestellung mit Nummer, Stufe und Auszahlung; Zähler oben rechts.</t>
        </is>
      </c>
    </row>
    <row r="31">
      <c r="A31" s="5" t="inlineStr">
        <is>
          <t>Nummern</t>
        </is>
      </c>
      <c r="B31" t="inlineStr">
        <is>
          <t>001–100 mit Plan und Status.</t>
        </is>
      </c>
    </row>
    <row r="32">
      <c r="A32" s="5" t="inlineStr">
        <is>
          <t>Bestand</t>
        </is>
      </c>
      <c r="B32" t="inlineStr">
        <is>
          <t>Bestand je Größe bis zum Drop-Rest.</t>
        </is>
      </c>
    </row>
    <row r="33">
      <c r="A33" s="5" t="inlineStr">
        <is>
          <t>Retouren</t>
        </is>
      </c>
      <c r="B33" t="inlineStr">
        <is>
          <t>Jede Retoure mit Grund.</t>
        </is>
      </c>
    </row>
    <row r="34">
      <c r="A34" s="5" t="inlineStr">
        <is>
          <t>Kaufgrund</t>
        </is>
      </c>
      <c r="B34" t="inlineStr">
        <is>
          <t>Warum Leute gekauft haben.</t>
        </is>
      </c>
    </row>
    <row r="35">
      <c r="A35" s="5" t="inlineStr">
        <is>
          <t>Drop</t>
        </is>
      </c>
      <c r="B35" t="inlineStr">
        <is>
          <t>Prüfpunkte am Drop-Wochenende.</t>
        </is>
      </c>
    </row>
    <row r="36">
      <c r="A36" s="5" t="inlineStr">
        <is>
          <t>Website</t>
        </is>
      </c>
      <c r="B36" t="inlineStr">
        <is>
          <t>Bauschritte der Scroll-Story mit Test.</t>
        </is>
      </c>
    </row>
    <row r="37">
      <c r="A37" s="5" t="inlineStr">
        <is>
          <t>Tools</t>
        </is>
      </c>
      <c r="B37" t="inlineStr">
        <is>
          <t>Konten und Abos.</t>
        </is>
      </c>
    </row>
    <row r="38">
      <c r="A38" s="5" t="inlineStr">
        <is>
          <t>Recht</t>
        </is>
      </c>
      <c r="B38" t="inlineStr">
        <is>
          <t>Recht und Steuer mit Belegen.</t>
        </is>
      </c>
    </row>
    <row r="39">
      <c r="A39" s="5" t="inlineStr">
        <is>
          <t>Entscheidungen</t>
        </is>
      </c>
      <c r="B39" t="inlineStr">
        <is>
          <t>Deine Entscheidungen mit Datum.</t>
        </is>
      </c>
    </row>
  </sheetData>
  <hyperlinks>
    <hyperlink xmlns:r="http://schemas.openxmlformats.org/officeDocument/2006/relationships" ref="A8" r:id="rId1"/>
    <hyperlink xmlns:r="http://schemas.openxmlformats.org/officeDocument/2006/relationships" ref="A9" r:id="rId2"/>
    <hyperlink xmlns:r="http://schemas.openxmlformats.org/officeDocument/2006/relationships" ref="A10" r:id="rId3"/>
    <hyperlink xmlns:r="http://schemas.openxmlformats.org/officeDocument/2006/relationships" ref="A11" r:id="rId4"/>
    <hyperlink xmlns:r="http://schemas.openxmlformats.org/officeDocument/2006/relationships" ref="A12" r:id="rId5"/>
    <hyperlink xmlns:r="http://schemas.openxmlformats.org/officeDocument/2006/relationships" ref="A13" r:id="rId6"/>
    <hyperlink xmlns:r="http://schemas.openxmlformats.org/officeDocument/2006/relationships" ref="A14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7" r:id="rId10"/>
    <hyperlink xmlns:r="http://schemas.openxmlformats.org/officeDocument/2006/relationships" ref="A18" r:id="rId11"/>
    <hyperlink xmlns:r="http://schemas.openxmlformats.org/officeDocument/2006/relationships" ref="A19" r:id="rId12"/>
    <hyperlink xmlns:r="http://schemas.openxmlformats.org/officeDocument/2006/relationships" ref="A20" r:id="rId13"/>
    <hyperlink xmlns:r="http://schemas.openxmlformats.org/officeDocument/2006/relationships" ref="A21" r:id="rId14"/>
    <hyperlink xmlns:r="http://schemas.openxmlformats.org/officeDocument/2006/relationships" ref="A22" r:id="rId15"/>
    <hyperlink xmlns:r="http://schemas.openxmlformats.org/officeDocument/2006/relationships" ref="A23" r:id="rId16"/>
    <hyperlink xmlns:r="http://schemas.openxmlformats.org/officeDocument/2006/relationships" ref="A24" r:id="rId17"/>
    <hyperlink xmlns:r="http://schemas.openxmlformats.org/officeDocument/2006/relationships" ref="A25" r:id="rId18"/>
    <hyperlink xmlns:r="http://schemas.openxmlformats.org/officeDocument/2006/relationships" ref="A26" r:id="rId19"/>
    <hyperlink xmlns:r="http://schemas.openxmlformats.org/officeDocument/2006/relationships" ref="A27" r:id="rId20"/>
    <hyperlink xmlns:r="http://schemas.openxmlformats.org/officeDocument/2006/relationships" ref="A28" r:id="rId21"/>
    <hyperlink xmlns:r="http://schemas.openxmlformats.org/officeDocument/2006/relationships" ref="A29" r:id="rId22"/>
    <hyperlink xmlns:r="http://schemas.openxmlformats.org/officeDocument/2006/relationships" ref="A30" r:id="rId23"/>
    <hyperlink xmlns:r="http://schemas.openxmlformats.org/officeDocument/2006/relationships" ref="A31" r:id="rId24"/>
    <hyperlink xmlns:r="http://schemas.openxmlformats.org/officeDocument/2006/relationships" ref="A32" r:id="rId25"/>
    <hyperlink xmlns:r="http://schemas.openxmlformats.org/officeDocument/2006/relationships" ref="A33" r:id="rId26"/>
    <hyperlink xmlns:r="http://schemas.openxmlformats.org/officeDocument/2006/relationships" ref="A34" r:id="rId27"/>
    <hyperlink xmlns:r="http://schemas.openxmlformats.org/officeDocument/2006/relationships" ref="A35" r:id="rId28"/>
    <hyperlink xmlns:r="http://schemas.openxmlformats.org/officeDocument/2006/relationships" ref="A36" r:id="rId29"/>
    <hyperlink xmlns:r="http://schemas.openxmlformats.org/officeDocument/2006/relationships" ref="A37" r:id="rId30"/>
    <hyperlink xmlns:r="http://schemas.openxmlformats.org/officeDocument/2006/relationships" ref="A38" r:id="rId31"/>
    <hyperlink xmlns:r="http://schemas.openxmlformats.org/officeDocument/2006/relationships" ref="A39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F6518"/>
    <outlinePr summaryBelow="1" summaryRight="1"/>
    <pageSetUpPr/>
  </sheetPr>
  <dimension ref="A1:O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3" customWidth="1" min="5" max="5"/>
    <col width="11" customWidth="1" min="6" max="6"/>
    <col width="13" customWidth="1" min="7" max="7"/>
    <col width="13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70" customWidth="1" min="15" max="15"/>
  </cols>
  <sheetData>
    <row r="1">
      <c r="A1" s="6" t="inlineStr">
        <is>
          <t>Wochen · die 4 Zahlen jeden Sonntag</t>
        </is>
      </c>
    </row>
    <row r="2">
      <c r="A2" s="7" t="inlineStr">
        <is>
          <t>Soll und Alarm kommen aus der Strategie. Du trägst nur die gelben Spalten ein. Follower: Gesamtzahl TikTok + Instagram, „neu“ rechnet die Tabelle mit dem Startwert in C2.</t>
        </is>
      </c>
    </row>
    <row r="3">
      <c r="A3" s="2" t="inlineStr">
        <is>
          <t>Startwert Follower (Sa 10.10.)</t>
        </is>
      </c>
      <c r="C3" s="8" t="n"/>
    </row>
    <row r="4" ht="32" customHeight="1">
      <c r="A4" s="9" t="inlineStr">
        <is>
          <t>Sonntag</t>
        </is>
      </c>
      <c r="B4" s="9" t="inlineStr">
        <is>
          <t>Woche</t>
        </is>
      </c>
      <c r="C4" s="9" t="inlineStr">
        <is>
          <t>Warteliste Soll</t>
        </is>
      </c>
      <c r="D4" s="9" t="inlineStr">
        <is>
          <t>Warteliste Alarm</t>
        </is>
      </c>
      <c r="E4" s="9" t="inlineStr">
        <is>
          <t>Warteliste Ist (bestätigt)</t>
        </is>
      </c>
      <c r="F4" s="9" t="inlineStr">
        <is>
          <t>Follower neu Soll</t>
        </is>
      </c>
      <c r="G4" s="9" t="inlineStr">
        <is>
          <t>Follower gesamt Ist</t>
        </is>
      </c>
      <c r="H4" s="9" t="inlineStr">
        <is>
          <t>Follower neu (Formel)</t>
        </is>
      </c>
      <c r="I4" s="9" t="inlineStr">
        <is>
          <t>Zusagen Soll</t>
        </is>
      </c>
      <c r="J4" s="9" t="inlineStr">
        <is>
          <t>Zusagen Ist</t>
        </is>
      </c>
      <c r="K4" s="9" t="inlineStr">
        <is>
          <t>Jeans bezahlt Soll</t>
        </is>
      </c>
      <c r="L4" s="9" t="inlineStr">
        <is>
          <t>Jeans bezahlt Alarm</t>
        </is>
      </c>
      <c r="M4" s="9" t="inlineStr">
        <is>
          <t>Jeans bezahlt Ist</t>
        </is>
      </c>
      <c r="N4" s="9" t="inlineStr">
        <is>
          <t>Status</t>
        </is>
      </c>
      <c r="O4" s="9" t="inlineStr">
        <is>
          <t>Gate dieser Woche</t>
        </is>
      </c>
    </row>
    <row r="5">
      <c r="A5" s="10" t="n">
        <v>46313</v>
      </c>
      <c r="B5" s="11" t="inlineStr">
        <is>
          <t>W5</t>
        </is>
      </c>
      <c r="C5" s="11" t="n">
        <v>40</v>
      </c>
      <c r="D5" s="11" t="n">
        <v>15</v>
      </c>
      <c r="E5" s="12" t="n"/>
      <c r="F5" s="11" t="n">
        <v>120</v>
      </c>
      <c r="G5" s="12" t="n"/>
      <c r="H5">
        <f>IF(OR(G5="",$C$3=""),"",G5-$C$3)</f>
        <v/>
      </c>
      <c r="J5" s="12" t="n"/>
      <c r="M5" s="12" t="n"/>
      <c r="N5">
        <f>IF(AND(E5="",H5="",J5="",M5=""),"offen",IF(OR(AND(E5&lt;&gt;"",D5&lt;&gt;"",E5&lt;D5),AND(M5&lt;&gt;"",L5&lt;&gt;"",M5&lt;L5)),"unter Alarm",IF(OR(AND(E5&lt;&gt;"",E5&lt;C5),AND(H5&lt;&gt;"",F5&lt;&gt;"",H5&lt;F5),AND(J5&lt;&gt;"",I5&lt;&gt;"",J5&lt;I5),AND(M5&lt;&gt;"",K5&lt;&gt;"",M5&lt;K5)),"unter Soll","im Plan")))</f>
        <v/>
      </c>
      <c r="O5" s="3" t="inlineStr">
        <is>
          <t>So 18.10.: Netz ≥ 30 Namen, ≥ 4 Fabrik-Antworten, Steuertermin</t>
        </is>
      </c>
    </row>
    <row r="6">
      <c r="A6" s="10" t="n">
        <v>46320</v>
      </c>
      <c r="B6" s="11" t="inlineStr">
        <is>
          <t>W6</t>
        </is>
      </c>
      <c r="C6" s="11" t="n">
        <v>90</v>
      </c>
      <c r="D6" s="11" t="n">
        <v>30</v>
      </c>
      <c r="E6" s="12" t="n"/>
      <c r="F6" s="11" t="n">
        <v>270</v>
      </c>
      <c r="G6" s="12" t="n"/>
      <c r="H6">
        <f>IF(OR(G6="",$C$3=""),"",G6-$C$3)</f>
        <v/>
      </c>
      <c r="I6" s="11" t="n">
        <v>5</v>
      </c>
      <c r="J6" s="12" t="n"/>
      <c r="M6" s="12" t="n"/>
      <c r="N6">
        <f>IF(AND(E6="",H6="",J6="",M6=""),"offen",IF(OR(AND(E6&lt;&gt;"",D6&lt;&gt;"",E6&lt;D6),AND(M6&lt;&gt;"",L6&lt;&gt;"",M6&lt;L6)),"unter Alarm",IF(OR(AND(E6&lt;&gt;"",E6&lt;C6),AND(H6&lt;&gt;"",F6&lt;&gt;"",H6&lt;F6),AND(J6&lt;&gt;"",I6&lt;&gt;"",J6&lt;I6),AND(M6&lt;&gt;"",K6&lt;&gt;"",M6&lt;K6)),"unter Soll","im Plan")))</f>
        <v/>
      </c>
      <c r="O6" s="3" t="inlineStr">
        <is>
          <t>Mi 21.10.: Belegtabelle v1.0 (nach dem MEK; Quelle, Region, Abbildung je Motiv) · Fr 23.10.: Steuer schriftlich</t>
        </is>
      </c>
    </row>
    <row r="7">
      <c r="A7" s="10" t="n">
        <v>46327</v>
      </c>
      <c r="B7" s="11" t="inlineStr">
        <is>
          <t>W7</t>
        </is>
      </c>
      <c r="C7" s="11" t="n">
        <v>150</v>
      </c>
      <c r="D7" s="11" t="n">
        <v>50</v>
      </c>
      <c r="E7" s="12" t="n"/>
      <c r="F7" s="11" t="n">
        <v>450</v>
      </c>
      <c r="G7" s="12" t="n"/>
      <c r="H7">
        <f>IF(OR(G7="",$C$3=""),"",G7-$C$3)</f>
        <v/>
      </c>
      <c r="I7" s="11" t="n">
        <v>10</v>
      </c>
      <c r="J7" s="12" t="n"/>
      <c r="M7" s="12" t="n"/>
      <c r="N7">
        <f>IF(AND(E7="",H7="",J7="",M7=""),"offen",IF(OR(AND(E7&lt;&gt;"",D7&lt;&gt;"",E7&lt;D7),AND(M7&lt;&gt;"",L7&lt;&gt;"",M7&lt;L7)),"unter Alarm",IF(OR(AND(E7&lt;&gt;"",E7&lt;C7),AND(H7&lt;&gt;"",F7&lt;&gt;"",H7&lt;F7),AND(J7&lt;&gt;"",I7&lt;&gt;"",J7&lt;I7),AND(M7&lt;&gt;"",K7&lt;&gt;"",M7&lt;K7)),"unter Soll","im Plan")))</f>
        <v/>
      </c>
      <c r="O7" s="3" t="inlineStr">
        <is>
          <t>Mo 26.10.: Fabrik mit Panel-Stickerei im Haus, Ampel grün/gelb · Fr 30.10.: Bei Türkei: Proforma da · So 01.11.: Validierung ≥ 150, ≥ 10 Zusagen (nur Spalte „Zusage“), 50/50 schriftlich, Markenkriterien</t>
        </is>
      </c>
    </row>
    <row r="8">
      <c r="A8" s="10" t="n">
        <v>46334</v>
      </c>
      <c r="B8" s="11" t="inlineStr">
        <is>
          <t>W8</t>
        </is>
      </c>
      <c r="C8" s="11" t="n">
        <v>210</v>
      </c>
      <c r="D8" s="11" t="n">
        <v>80</v>
      </c>
      <c r="E8" s="12" t="n"/>
      <c r="F8" s="11" t="n">
        <v>630</v>
      </c>
      <c r="G8" s="12" t="n"/>
      <c r="H8">
        <f>IF(OR(G8="",$C$3=""),"",G8-$C$3)</f>
        <v/>
      </c>
      <c r="I8" s="11" t="n">
        <v>10</v>
      </c>
      <c r="J8" s="12" t="n"/>
      <c r="M8" s="12" t="n"/>
      <c r="N8">
        <f>IF(AND(E8="",H8="",J8="",M8=""),"offen",IF(OR(AND(E8&lt;&gt;"",D8&lt;&gt;"",E8&lt;D8),AND(M8&lt;&gt;"",L8&lt;&gt;"",M8&lt;L8)),"unter Alarm",IF(OR(AND(E8&lt;&gt;"",E8&lt;C8),AND(H8&lt;&gt;"",F8&lt;&gt;"",H8&lt;F8),AND(J8&lt;&gt;"",I8&lt;&gt;"",J8&lt;I8),AND(M8&lt;&gt;"",K8&lt;&gt;"",M8&lt;K8)),"unter Soll","im Plan")))</f>
        <v/>
      </c>
      <c r="O8" s="3" t="inlineStr">
        <is>
          <t>Sa 07.11.: Farbe B/B2, Namen, Sprache final, Bildregel „keine Seitenansicht links“, Liefergebiet · So 08.11.: Fabrik antwortet in ≤ 3 Werktagen</t>
        </is>
      </c>
    </row>
    <row r="9">
      <c r="A9" s="10" t="n">
        <v>46341</v>
      </c>
      <c r="B9" s="11" t="inlineStr">
        <is>
          <t>W9</t>
        </is>
      </c>
      <c r="C9" s="11" t="n">
        <v>270</v>
      </c>
      <c r="D9" s="11" t="n">
        <v>110</v>
      </c>
      <c r="E9" s="12" t="n"/>
      <c r="F9" s="11" t="n">
        <v>810</v>
      </c>
      <c r="G9" s="12" t="n"/>
      <c r="H9">
        <f>IF(OR(G9="",$C$3=""),"",G9-$C$3)</f>
        <v/>
      </c>
      <c r="I9" s="11" t="n">
        <v>11</v>
      </c>
      <c r="J9" s="12" t="n"/>
      <c r="M9" s="12" t="n"/>
      <c r="N9">
        <f>IF(AND(E9="",H9="",J9="",M9=""),"offen",IF(OR(AND(E9&lt;&gt;"",D9&lt;&gt;"",E9&lt;D9),AND(M9&lt;&gt;"",L9&lt;&gt;"",M9&lt;L9)),"unter Alarm",IF(OR(AND(E9&lt;&gt;"",E9&lt;C9),AND(H9&lt;&gt;"",F9&lt;&gt;"",H9&lt;F9),AND(J9&lt;&gt;"",I9&lt;&gt;"",J9&lt;I9),AND(M9&lt;&gt;"",K9&lt;&gt;"",M9&lt;K9)),"unter Soll","im Plan")))</f>
        <v/>
      </c>
      <c r="O9" s="3" t="inlineStr">
        <is>
          <t>Di 10.11.: Stiche ≤ 33.000</t>
        </is>
      </c>
    </row>
    <row r="10">
      <c r="A10" s="10" t="n">
        <v>46348</v>
      </c>
      <c r="B10" s="11" t="inlineStr">
        <is>
          <t>W10</t>
        </is>
      </c>
      <c r="C10" s="11" t="n">
        <v>330</v>
      </c>
      <c r="D10" s="11" t="n">
        <v>140</v>
      </c>
      <c r="E10" s="12" t="n"/>
      <c r="F10" s="11" t="n">
        <v>990</v>
      </c>
      <c r="G10" s="12" t="n"/>
      <c r="H10">
        <f>IF(OR(G10="",$C$3=""),"",G10-$C$3)</f>
        <v/>
      </c>
      <c r="I10" s="11" t="n">
        <v>12</v>
      </c>
      <c r="J10" s="12" t="n"/>
      <c r="M10" s="12" t="n"/>
      <c r="N10">
        <f>IF(AND(E10="",H10="",J10="",M10=""),"offen",IF(OR(AND(E10&lt;&gt;"",D10&lt;&gt;"",E10&lt;D10),AND(M10&lt;&gt;"",L10&lt;&gt;"",M10&lt;L10)),"unter Alarm",IF(OR(AND(E10&lt;&gt;"",E10&lt;C10),AND(H10&lt;&gt;"",F10&lt;&gt;"",H10&lt;F10),AND(J10&lt;&gt;"",I10&lt;&gt;"",J10&lt;I10),AND(M10&lt;&gt;"",K10&lt;&gt;"",M10&lt;K10)),"unter Soll","im Plan")))</f>
        <v/>
      </c>
      <c r="O10" s="3" t="inlineStr">
        <is>
          <t>Di 17.11.: Stickproben bestanden · So 22.11.: Proto-Versand schriftlich ≤ 30.11.</t>
        </is>
      </c>
    </row>
    <row r="11">
      <c r="A11" s="10" t="n">
        <v>46355</v>
      </c>
      <c r="B11" s="11" t="inlineStr">
        <is>
          <t>W11</t>
        </is>
      </c>
      <c r="C11" s="11" t="n">
        <v>390</v>
      </c>
      <c r="D11" s="11" t="n">
        <v>170</v>
      </c>
      <c r="E11" s="12" t="n"/>
      <c r="F11" s="11" t="n">
        <v>1170</v>
      </c>
      <c r="G11" s="12" t="n"/>
      <c r="H11">
        <f>IF(OR(G11="",$C$3=""),"",G11-$C$3)</f>
        <v/>
      </c>
      <c r="I11" s="11" t="n">
        <v>13</v>
      </c>
      <c r="J11" s="12" t="n"/>
      <c r="M11" s="12" t="n"/>
      <c r="N11">
        <f>IF(AND(E11="",H11="",J11="",M11=""),"offen",IF(OR(AND(E11&lt;&gt;"",D11&lt;&gt;"",E11&lt;D11),AND(M11&lt;&gt;"",L11&lt;&gt;"",M11&lt;L11)),"unter Alarm",IF(OR(AND(E11&lt;&gt;"",E11&lt;C11),AND(H11&lt;&gt;"",F11&lt;&gt;"",H11&lt;F11),AND(J11&lt;&gt;"",I11&lt;&gt;"",J11&lt;I11),AND(M11&lt;&gt;"",K11&lt;&gt;"",M11&lt;K11)),"unter Soll","im Plan")))</f>
        <v/>
      </c>
      <c r="O11" s="3" t="inlineStr">
        <is>
          <t>So 29.11.: Liste ≥ 170 · Payments verifiziert · Rechtstexte live</t>
        </is>
      </c>
    </row>
    <row r="12">
      <c r="A12" s="10" t="n">
        <v>46362</v>
      </c>
      <c r="B12" s="11" t="inlineStr">
        <is>
          <t>W12</t>
        </is>
      </c>
      <c r="C12" s="11" t="n">
        <v>470</v>
      </c>
      <c r="D12" s="11" t="n">
        <v>200</v>
      </c>
      <c r="E12" s="12" t="n"/>
      <c r="F12" s="11" t="n">
        <v>1410</v>
      </c>
      <c r="G12" s="12" t="n"/>
      <c r="H12">
        <f>IF(OR(G12="",$C$3=""),"",G12-$C$3)</f>
        <v/>
      </c>
      <c r="I12" s="11" t="n">
        <v>15</v>
      </c>
      <c r="J12" s="12" t="n"/>
      <c r="M12" s="12" t="n"/>
      <c r="N12">
        <f>IF(AND(E12="",H12="",J12="",M12=""),"offen",IF(OR(AND(E12&lt;&gt;"",D12&lt;&gt;"",E12&lt;D12),AND(M12&lt;&gt;"",L12&lt;&gt;"",M12&lt;L12)),"unter Alarm",IF(OR(AND(E12&lt;&gt;"",E12&lt;C12),AND(H12&lt;&gt;"",F12&lt;&gt;"",H12&lt;F12),AND(J12&lt;&gt;"",I12&lt;&gt;"",J12&lt;I12),AND(M12&lt;&gt;"",K12&lt;&gt;"",M12&lt;K12)),"unter Soll","im Plan")))</f>
        <v/>
      </c>
      <c r="O12" s="3" t="inlineStr">
        <is>
          <t>Sa 05.12.: Proto und Fit</t>
        </is>
      </c>
    </row>
    <row r="13">
      <c r="A13" s="10" t="n">
        <v>46369</v>
      </c>
      <c r="B13" s="11" t="inlineStr">
        <is>
          <t>W13</t>
        </is>
      </c>
      <c r="C13" s="11" t="n">
        <v>550</v>
      </c>
      <c r="D13" s="11" t="n">
        <v>230</v>
      </c>
      <c r="E13" s="12" t="n"/>
      <c r="F13" s="11" t="n">
        <v>1650</v>
      </c>
      <c r="G13" s="12" t="n"/>
      <c r="H13">
        <f>IF(OR(G13="",$C$3=""),"",G13-$C$3)</f>
        <v/>
      </c>
      <c r="I13" s="11" t="n">
        <v>18</v>
      </c>
      <c r="J13" s="12" t="n"/>
      <c r="M13" s="12" t="n"/>
      <c r="N13">
        <f>IF(AND(E13="",H13="",J13="",M13=""),"offen",IF(OR(AND(E13&lt;&gt;"",D13&lt;&gt;"",E13&lt;D13),AND(M13&lt;&gt;"",L13&lt;&gt;"",M13&lt;L13)),"unter Alarm",IF(OR(AND(E13&lt;&gt;"",E13&lt;C13),AND(H13&lt;&gt;"",F13&lt;&gt;"",H13&lt;F13),AND(J13&lt;&gt;"",I13&lt;&gt;"",J13&lt;I13),AND(M13&lt;&gt;"",K13&lt;&gt;"",M13&lt;K13)),"unter Soll","im Plan")))</f>
        <v/>
      </c>
      <c r="O13" s="3" t="inlineStr">
        <is>
          <t>So 13.12.: Zusagen ≥ 18 · Reservierungen ≥ 15</t>
        </is>
      </c>
    </row>
    <row r="14">
      <c r="A14" s="10" t="n">
        <v>46376</v>
      </c>
      <c r="B14" s="11" t="inlineStr">
        <is>
          <t>W14</t>
        </is>
      </c>
      <c r="C14" s="11" t="n">
        <v>620</v>
      </c>
      <c r="D14" s="11" t="n">
        <v>260</v>
      </c>
      <c r="E14" s="12" t="n"/>
      <c r="F14" s="11" t="n">
        <v>1860</v>
      </c>
      <c r="G14" s="12" t="n"/>
      <c r="H14">
        <f>IF(OR(G14="",$C$3=""),"",G14-$C$3)</f>
        <v/>
      </c>
      <c r="I14" s="11" t="n">
        <v>20</v>
      </c>
      <c r="J14" s="12" t="n"/>
      <c r="M14" s="12" t="n"/>
      <c r="N14">
        <f>IF(AND(E14="",H14="",J14="",M14=""),"offen",IF(OR(AND(E14&lt;&gt;"",D14&lt;&gt;"",E14&lt;D14),AND(M14&lt;&gt;"",L14&lt;&gt;"",M14&lt;L14)),"unter Alarm",IF(OR(AND(E14&lt;&gt;"",E14&lt;C14),AND(H14&lt;&gt;"",F14&lt;&gt;"",H14&lt;F14),AND(J14&lt;&gt;"",I14&lt;&gt;"",J14&lt;I14),AND(M14&lt;&gt;"",K14&lt;&gt;"",M14&lt;K14)),"unter Soll","im Plan")))</f>
        <v/>
      </c>
      <c r="O14" s="3" t="inlineStr">
        <is>
          <t>So 20.12.: Zusagen ≥ 15, Auszahlung geklärt, Stufe 2 entschieden, Patch bestellt</t>
        </is>
      </c>
    </row>
    <row r="15">
      <c r="A15" s="10" t="n">
        <v>46383</v>
      </c>
      <c r="B15" s="11" t="inlineStr">
        <is>
          <t>W15</t>
        </is>
      </c>
      <c r="C15" s="11" t="n">
        <v>680</v>
      </c>
      <c r="D15" s="11" t="n">
        <v>280</v>
      </c>
      <c r="E15" s="12" t="n"/>
      <c r="F15" s="11" t="n">
        <v>2040</v>
      </c>
      <c r="G15" s="12" t="n"/>
      <c r="H15">
        <f>IF(OR(G15="",$C$3=""),"",G15-$C$3)</f>
        <v/>
      </c>
      <c r="I15" s="11" t="n">
        <v>20</v>
      </c>
      <c r="J15" s="12" t="n"/>
      <c r="M15" s="12" t="n"/>
      <c r="N15">
        <f>IF(AND(E15="",H15="",J15="",M15=""),"offen",IF(OR(AND(E15&lt;&gt;"",D15&lt;&gt;"",E15&lt;D15),AND(M15&lt;&gt;"",L15&lt;&gt;"",M15&lt;L15)),"unter Alarm",IF(OR(AND(E15&lt;&gt;"",E15&lt;C15),AND(H15&lt;&gt;"",F15&lt;&gt;"",H15&lt;F15),AND(J15&lt;&gt;"",I15&lt;&gt;"",J15&lt;I15),AND(M15&lt;&gt;"",K15&lt;&gt;"",M15&lt;K15)),"unter Soll","im Plan")))</f>
        <v/>
      </c>
      <c r="O15" s="3" t="inlineStr">
        <is>
          <t>Sonntags-Check: Warteliste, Follower, Zusagen bzw. Vorbestellungen gegen das Soll, dazu Kassen-Ampel und Anmeldungen je 1.000 Views (Abschnitt Gates).</t>
        </is>
      </c>
    </row>
    <row r="16">
      <c r="A16" s="10" t="n">
        <v>46390</v>
      </c>
      <c r="B16" s="11" t="inlineStr">
        <is>
          <t>W16</t>
        </is>
      </c>
      <c r="C16" s="11" t="n">
        <v>740</v>
      </c>
      <c r="D16" s="11" t="n">
        <v>300</v>
      </c>
      <c r="E16" s="12" t="n"/>
      <c r="F16" s="11" t="n">
        <v>2220</v>
      </c>
      <c r="G16" s="12" t="n"/>
      <c r="H16">
        <f>IF(OR(G16="",$C$3=""),"",G16-$C$3)</f>
        <v/>
      </c>
      <c r="I16" s="11" t="n">
        <v>22</v>
      </c>
      <c r="J16" s="12" t="n"/>
      <c r="M16" s="12" t="n"/>
      <c r="N16">
        <f>IF(AND(E16="",H16="",J16="",M16=""),"offen",IF(OR(AND(E16&lt;&gt;"",D16&lt;&gt;"",E16&lt;D16),AND(M16&lt;&gt;"",L16&lt;&gt;"",M16&lt;L16)),"unter Alarm",IF(OR(AND(E16&lt;&gt;"",E16&lt;C16),AND(H16&lt;&gt;"",F16&lt;&gt;"",H16&lt;F16),AND(J16&lt;&gt;"",I16&lt;&gt;"",J16&lt;I16),AND(M16&lt;&gt;"",K16&lt;&gt;"",M16&lt;K16)),"unter Soll","im Plan")))</f>
        <v/>
      </c>
      <c r="O16" s="3" t="inlineStr">
        <is>
          <t>Sonntags-Check: Warteliste, Follower, Zusagen bzw. Vorbestellungen gegen das Soll, dazu Kassen-Ampel und Anmeldungen je 1.000 Views (Abschnitt Gates).</t>
        </is>
      </c>
    </row>
    <row r="17">
      <c r="A17" s="10" t="n">
        <v>46397</v>
      </c>
      <c r="B17" s="11" t="inlineStr">
        <is>
          <t>W17</t>
        </is>
      </c>
      <c r="C17" s="11" t="n">
        <v>850</v>
      </c>
      <c r="D17" s="11" t="n">
        <v>380</v>
      </c>
      <c r="E17" s="12" t="n"/>
      <c r="F17" s="11" t="n">
        <v>2550</v>
      </c>
      <c r="G17" s="12" t="n"/>
      <c r="H17">
        <f>IF(OR(G17="",$C$3=""),"",G17-$C$3)</f>
        <v/>
      </c>
      <c r="I17" s="11" t="n">
        <v>25</v>
      </c>
      <c r="J17" s="12" t="n"/>
      <c r="M17" s="12" t="n"/>
      <c r="N17">
        <f>IF(AND(E17="",H17="",J17="",M17=""),"offen",IF(OR(AND(E17&lt;&gt;"",D17&lt;&gt;"",E17&lt;D17),AND(M17&lt;&gt;"",L17&lt;&gt;"",M17&lt;L17)),"unter Alarm",IF(OR(AND(E17&lt;&gt;"",E17&lt;C17),AND(H17&lt;&gt;"",F17&lt;&gt;"",H17&lt;F17),AND(J17&lt;&gt;"",I17&lt;&gt;"",J17&lt;I17),AND(M17&lt;&gt;"",K17&lt;&gt;"",M17&lt;K17)),"unter Soll","im Plan")))</f>
        <v/>
      </c>
      <c r="O17" s="3" t="inlineStr">
        <is>
          <t>Di 05.01.: PP freigegeben · So 10.01.: Zusagen ≥ 25</t>
        </is>
      </c>
    </row>
    <row r="18">
      <c r="A18" s="10" t="n">
        <v>46404</v>
      </c>
      <c r="B18" s="11" t="inlineStr">
        <is>
          <t>W18</t>
        </is>
      </c>
      <c r="C18" s="11" t="n">
        <v>1000</v>
      </c>
      <c r="D18" s="11" t="n">
        <v>450</v>
      </c>
      <c r="E18" s="12" t="n"/>
      <c r="F18" s="11" t="n">
        <v>3000</v>
      </c>
      <c r="G18" s="12" t="n"/>
      <c r="H18">
        <f>IF(OR(G18="",$C$3=""),"",G18-$C$3)</f>
        <v/>
      </c>
      <c r="J18" s="12" t="n"/>
      <c r="K18" s="11" t="n">
        <v>10</v>
      </c>
      <c r="L18" s="11" t="n">
        <v>6</v>
      </c>
      <c r="M18" s="12" t="n"/>
      <c r="N18">
        <f>IF(AND(E18="",H18="",J18="",M18=""),"offen",IF(OR(AND(E18&lt;&gt;"",D18&lt;&gt;"",E18&lt;D18),AND(M18&lt;&gt;"",L18&lt;&gt;"",M18&lt;L18)),"unter Alarm",IF(OR(AND(E18&lt;&gt;"",E18&lt;C18),AND(H18&lt;&gt;"",F18&lt;&gt;"",H18&lt;F18),AND(J18&lt;&gt;"",I18&lt;&gt;"",J18&lt;I18),AND(M18&lt;&gt;"",K18&lt;&gt;"",M18&lt;K18)),"unter Soll","im Plan")))</f>
        <v/>
      </c>
      <c r="O18" s="3" t="inlineStr">
        <is>
          <t>So 17.01.: ≥ 8 Vorbestellungen</t>
        </is>
      </c>
    </row>
    <row r="19">
      <c r="A19" s="10" t="n">
        <v>46411</v>
      </c>
      <c r="B19" s="11" t="inlineStr">
        <is>
          <t>W19</t>
        </is>
      </c>
      <c r="C19" s="11" t="n">
        <v>1250</v>
      </c>
      <c r="D19" s="11" t="n">
        <v>520</v>
      </c>
      <c r="E19" s="12" t="n"/>
      <c r="F19" s="11" t="n">
        <v>3750</v>
      </c>
      <c r="G19" s="12" t="n"/>
      <c r="H19">
        <f>IF(OR(G19="",$C$3=""),"",G19-$C$3)</f>
        <v/>
      </c>
      <c r="J19" s="12" t="n"/>
      <c r="K19" s="11" t="n">
        <v>13</v>
      </c>
      <c r="L19" s="11" t="n">
        <v>8</v>
      </c>
      <c r="M19" s="12" t="n"/>
      <c r="N19">
        <f>IF(AND(E19="",H19="",J19="",M19=""),"offen",IF(OR(AND(E19&lt;&gt;"",D19&lt;&gt;"",E19&lt;D19),AND(M19&lt;&gt;"",L19&lt;&gt;"",M19&lt;L19)),"unter Alarm",IF(OR(AND(E19&lt;&gt;"",E19&lt;C19),AND(H19&lt;&gt;"",F19&lt;&gt;"",H19&lt;F19),AND(J19&lt;&gt;"",I19&lt;&gt;"",J19&lt;I19),AND(M19&lt;&gt;"",K19&lt;&gt;"",M19&lt;K19)),"unter Soll","im Plan")))</f>
        <v/>
      </c>
      <c r="O19" s="3" t="inlineStr">
        <is>
          <t>So 24.01.: eigene Kaufquote (Vorbestellungen ÷ Liste 13.01.) · Mess-Abend 2b · Patches bei der Fabrik</t>
        </is>
      </c>
    </row>
    <row r="20">
      <c r="A20" s="10" t="n">
        <v>46418</v>
      </c>
      <c r="B20" s="11" t="inlineStr">
        <is>
          <t>W20</t>
        </is>
      </c>
      <c r="C20" s="11" t="n">
        <v>1500</v>
      </c>
      <c r="D20" s="11" t="n">
        <v>600</v>
      </c>
      <c r="E20" s="12" t="n"/>
      <c r="F20" s="11" t="n">
        <v>4500</v>
      </c>
      <c r="G20" s="12" t="n"/>
      <c r="H20">
        <f>IF(OR(G20="",$C$3=""),"",G20-$C$3)</f>
        <v/>
      </c>
      <c r="J20" s="12" t="n"/>
      <c r="K20" s="11" t="n">
        <v>16</v>
      </c>
      <c r="L20" s="11" t="n">
        <v>10</v>
      </c>
      <c r="M20" s="12" t="n"/>
      <c r="N20">
        <f>IF(AND(E20="",H20="",J20="",M20=""),"offen",IF(OR(AND(E20&lt;&gt;"",D20&lt;&gt;"",E20&lt;D20),AND(M20&lt;&gt;"",L20&lt;&gt;"",M20&lt;L20)),"unter Alarm",IF(OR(AND(E20&lt;&gt;"",E20&lt;C20),AND(H20&lt;&gt;"",F20&lt;&gt;"",H20&lt;F20),AND(J20&lt;&gt;"",I20&lt;&gt;"",J20&lt;I20),AND(M20&lt;&gt;"",K20&lt;&gt;"",M20&lt;K20)),"unter Soll","im Plan")))</f>
        <v/>
      </c>
      <c r="O20" s="3" t="inlineStr">
        <is>
          <t>Sonntags-Check: Warteliste, Follower, Zusagen bzw. Vorbestellungen gegen das Soll, dazu Kassen-Ampel und Anmeldungen je 1.000 Views (Abschnitt Gates).</t>
        </is>
      </c>
    </row>
    <row r="21">
      <c r="A21" s="10" t="n">
        <v>46425</v>
      </c>
      <c r="B21" s="11" t="inlineStr">
        <is>
          <t>W21</t>
        </is>
      </c>
      <c r="C21" s="11" t="n">
        <v>1700</v>
      </c>
      <c r="D21" s="11" t="n">
        <v>660</v>
      </c>
      <c r="E21" s="12" t="n"/>
      <c r="F21" s="11" t="n">
        <v>5100</v>
      </c>
      <c r="G21" s="12" t="n"/>
      <c r="H21">
        <f>IF(OR(G21="",$C$3=""),"",G21-$C$3)</f>
        <v/>
      </c>
      <c r="J21" s="12" t="n"/>
      <c r="K21" s="11" t="n">
        <v>18</v>
      </c>
      <c r="L21" s="11" t="n">
        <v>12</v>
      </c>
      <c r="M21" s="12" t="n"/>
      <c r="N21">
        <f>IF(AND(E21="",H21="",J21="",M21=""),"offen",IF(OR(AND(E21&lt;&gt;"",D21&lt;&gt;"",E21&lt;D21),AND(M21&lt;&gt;"",L21&lt;&gt;"",M21&lt;L21)),"unter Alarm",IF(OR(AND(E21&lt;&gt;"",E21&lt;C21),AND(H21&lt;&gt;"",F21&lt;&gt;"",H21&lt;F21),AND(J21&lt;&gt;"",I21&lt;&gt;"",J21&lt;I21),AND(M21&lt;&gt;"",K21&lt;&gt;"",M21&lt;K21)),"unter Soll","im Plan")))</f>
        <v/>
      </c>
      <c r="O21" s="3" t="inlineStr">
        <is>
          <t>Mo 01.02.: Schwelle 1 + Mengenformel (ausgezahlt am 31.01. + 6 × Wochenrate W19–W20) · Fr 05.02.: Spiel · So 07.02.: PO bestätigt, Anzahlung bezahlt</t>
        </is>
      </c>
    </row>
    <row r="22">
      <c r="A22" s="10" t="n">
        <v>46432</v>
      </c>
      <c r="B22" s="11" t="inlineStr">
        <is>
          <t>W22</t>
        </is>
      </c>
      <c r="C22" s="11" t="n">
        <v>1900</v>
      </c>
      <c r="D22" s="11" t="n">
        <v>720</v>
      </c>
      <c r="E22" s="12" t="n"/>
      <c r="F22" s="11" t="n">
        <v>5700</v>
      </c>
      <c r="G22" s="12" t="n"/>
      <c r="H22">
        <f>IF(OR(G22="",$C$3=""),"",G22-$C$3)</f>
        <v/>
      </c>
      <c r="J22" s="12" t="n"/>
      <c r="K22" s="11" t="n">
        <v>20</v>
      </c>
      <c r="L22" s="11" t="n">
        <v>14</v>
      </c>
      <c r="M22" s="12" t="n"/>
      <c r="N22">
        <f>IF(AND(E22="",H22="",J22="",M22=""),"offen",IF(OR(AND(E22&lt;&gt;"",D22&lt;&gt;"",E22&lt;D22),AND(M22&lt;&gt;"",L22&lt;&gt;"",M22&lt;L22)),"unter Alarm",IF(OR(AND(E22&lt;&gt;"",E22&lt;C22),AND(H22&lt;&gt;"",F22&lt;&gt;"",H22&lt;F22),AND(J22&lt;&gt;"",I22&lt;&gt;"",J22&lt;I22),AND(M22&lt;&gt;"",K22&lt;&gt;"",M22&lt;K22)),"unter Soll","im Plan")))</f>
        <v/>
      </c>
      <c r="O22" s="3" t="inlineStr">
        <is>
          <t>So 14.02.: Stoff da (reserviert seit 06.01.)</t>
        </is>
      </c>
    </row>
    <row r="23">
      <c r="A23" s="10" t="n">
        <v>46439</v>
      </c>
      <c r="B23" s="11" t="inlineStr">
        <is>
          <t>W23</t>
        </is>
      </c>
      <c r="C23" s="11" t="n">
        <v>2150</v>
      </c>
      <c r="D23" s="11" t="n">
        <v>790</v>
      </c>
      <c r="E23" s="12" t="n"/>
      <c r="F23" s="11" t="n">
        <v>6450</v>
      </c>
      <c r="G23" s="12" t="n"/>
      <c r="H23">
        <f>IF(OR(G23="",$C$3=""),"",G23-$C$3)</f>
        <v/>
      </c>
      <c r="J23" s="12" t="n"/>
      <c r="K23" s="11" t="n">
        <v>22</v>
      </c>
      <c r="L23" s="11" t="n">
        <v>16</v>
      </c>
      <c r="M23" s="12" t="n"/>
      <c r="N23">
        <f>IF(AND(E23="",H23="",J23="",M23=""),"offen",IF(OR(AND(E23&lt;&gt;"",D23&lt;&gt;"",E23&lt;D23),AND(M23&lt;&gt;"",L23&lt;&gt;"",M23&lt;L23)),"unter Alarm",IF(OR(AND(E23&lt;&gt;"",E23&lt;C23),AND(H23&lt;&gt;"",F23&lt;&gt;"",H23&lt;F23),AND(J23&lt;&gt;"",I23&lt;&gt;"",J23&lt;I23),AND(M23&lt;&gt;"",K23&lt;&gt;"",M23&lt;K23)),"unter Soll","im Plan")))</f>
        <v/>
      </c>
      <c r="O23" s="3" t="inlineStr">
        <is>
          <t>So 21.02.: Inline-Fotos 1</t>
        </is>
      </c>
    </row>
    <row r="24">
      <c r="A24" s="10" t="n">
        <v>46446</v>
      </c>
      <c r="B24" s="11" t="inlineStr">
        <is>
          <t>W24</t>
        </is>
      </c>
      <c r="C24" s="11" t="n">
        <v>2400</v>
      </c>
      <c r="D24" s="11" t="n">
        <v>850</v>
      </c>
      <c r="E24" s="12" t="n"/>
      <c r="F24" s="11" t="n">
        <v>7200</v>
      </c>
      <c r="G24" s="12" t="n"/>
      <c r="H24">
        <f>IF(OR(G24="",$C$3=""),"",G24-$C$3)</f>
        <v/>
      </c>
      <c r="J24" s="12" t="n"/>
      <c r="K24" s="11" t="n">
        <v>24</v>
      </c>
      <c r="L24" s="11" t="n">
        <v>18</v>
      </c>
      <c r="M24" s="12" t="n"/>
      <c r="N24">
        <f>IF(AND(E24="",H24="",J24="",M24=""),"offen",IF(OR(AND(E24&lt;&gt;"",D24&lt;&gt;"",E24&lt;D24),AND(M24&lt;&gt;"",L24&lt;&gt;"",M24&lt;L24)),"unter Alarm",IF(OR(AND(E24&lt;&gt;"",E24&lt;C24),AND(H24&lt;&gt;"",F24&lt;&gt;"",H24&lt;F24),AND(J24&lt;&gt;"",I24&lt;&gt;"",J24&lt;I24),AND(M24&lt;&gt;"",K24&lt;&gt;"",M24&lt;K24)),"unter Soll","im Plan")))</f>
        <v/>
      </c>
      <c r="O24" s="3" t="inlineStr">
        <is>
          <t>So 28.02.: ≥ 18 Vorbestellungen, Liste ≥ 850, Shopify-Email-Kontingent</t>
        </is>
      </c>
    </row>
    <row r="25">
      <c r="A25" s="10" t="n">
        <v>46453</v>
      </c>
      <c r="B25" s="11" t="inlineStr">
        <is>
          <t>W25</t>
        </is>
      </c>
      <c r="C25" s="11" t="n">
        <v>2450</v>
      </c>
      <c r="D25" s="11" t="n">
        <v>880</v>
      </c>
      <c r="E25" s="12" t="n"/>
      <c r="F25" s="11" t="n">
        <v>7350</v>
      </c>
      <c r="G25" s="12" t="n"/>
      <c r="H25">
        <f>IF(OR(G25="",$C$3=""),"",G25-$C$3)</f>
        <v/>
      </c>
      <c r="J25" s="12" t="n"/>
      <c r="K25" s="11" t="n">
        <v>26</v>
      </c>
      <c r="L25" s="11" t="n">
        <v>21</v>
      </c>
      <c r="M25" s="12" t="n"/>
      <c r="N25">
        <f>IF(AND(E25="",H25="",J25="",M25=""),"offen",IF(OR(AND(E25&lt;&gt;"",D25&lt;&gt;"",E25&lt;D25),AND(M25&lt;&gt;"",L25&lt;&gt;"",M25&lt;L25)),"unter Alarm",IF(OR(AND(E25&lt;&gt;"",E25&lt;C25),AND(H25&lt;&gt;"",F25&lt;&gt;"",H25&lt;F25),AND(J25&lt;&gt;"",I25&lt;&gt;"",J25&lt;I25),AND(M25&lt;&gt;"",K25&lt;&gt;"",M25&lt;K25)),"unter Soll","im Plan")))</f>
        <v/>
      </c>
      <c r="O25" s="3" t="inlineStr">
        <is>
          <t>So 07.03.: Inline-Fotos 2, Steuer-Rücklage</t>
        </is>
      </c>
    </row>
    <row r="26">
      <c r="A26" s="10" t="n">
        <v>46460</v>
      </c>
      <c r="B26" s="11" t="inlineStr">
        <is>
          <t>W26</t>
        </is>
      </c>
      <c r="C26" s="11" t="n">
        <v>2500</v>
      </c>
      <c r="D26" s="11" t="n">
        <v>910</v>
      </c>
      <c r="E26" s="12" t="n"/>
      <c r="F26" s="11" t="n">
        <v>7500</v>
      </c>
      <c r="G26" s="12" t="n"/>
      <c r="H26">
        <f>IF(OR(G26="",$C$3=""),"",G26-$C$3)</f>
        <v/>
      </c>
      <c r="J26" s="12" t="n"/>
      <c r="K26" s="11" t="n">
        <v>29</v>
      </c>
      <c r="L26" s="11" t="n">
        <v>25</v>
      </c>
      <c r="M26" s="12" t="n"/>
      <c r="N26">
        <f>IF(AND(E26="",H26="",J26="",M26=""),"offen",IF(OR(AND(E26&lt;&gt;"",D26&lt;&gt;"",E26&lt;D26),AND(M26&lt;&gt;"",L26&lt;&gt;"",M26&lt;L26)),"unter Alarm",IF(OR(AND(E26&lt;&gt;"",E26&lt;C26),AND(H26&lt;&gt;"",F26&lt;&gt;"",H26&lt;F26),AND(J26&lt;&gt;"",I26&lt;&gt;"",J26&lt;I26),AND(M26&lt;&gt;"",K26&lt;&gt;"",M26&lt;K26)),"unter Soll","im Plan")))</f>
        <v/>
      </c>
      <c r="O26" s="3" t="inlineStr">
        <is>
          <t>So 14.03.: ≥ 29 (Alarm 25) · absehbar 32 ausgezahlt bis Di 16.03. (mit der Auszahlungsdauer vom 29.12.)</t>
        </is>
      </c>
    </row>
    <row r="27">
      <c r="A27" s="10" t="n">
        <v>46467</v>
      </c>
      <c r="B27" s="11" t="inlineStr">
        <is>
          <t>W27</t>
        </is>
      </c>
      <c r="C27" s="11" t="n">
        <v>2560</v>
      </c>
      <c r="D27" s="11" t="n">
        <v>950</v>
      </c>
      <c r="E27" s="12" t="n"/>
      <c r="F27" s="11" t="n">
        <v>7680</v>
      </c>
      <c r="G27" s="12" t="n"/>
      <c r="H27">
        <f>IF(OR(G27="",$C$3=""),"",G27-$C$3)</f>
        <v/>
      </c>
      <c r="J27" s="12" t="n"/>
      <c r="K27" s="11" t="n">
        <v>35</v>
      </c>
      <c r="L27" s="11" t="n">
        <v>32</v>
      </c>
      <c r="M27" s="12" t="n"/>
      <c r="N27">
        <f>IF(AND(E27="",H27="",J27="",M27=""),"offen",IF(OR(AND(E27&lt;&gt;"",D27&lt;&gt;"",E27&lt;D27),AND(M27&lt;&gt;"",L27&lt;&gt;"",M27&lt;L27)),"unter Alarm",IF(OR(AND(E27&lt;&gt;"",E27&lt;C27),AND(H27&lt;&gt;"",F27&lt;&gt;"",H27&lt;F27),AND(J27&lt;&gt;"",I27&lt;&gt;"",J27&lt;I27),AND(M27&lt;&gt;"",K27&lt;&gt;"",M27&lt;K27)),"unter Soll","im Plan")))</f>
        <v/>
      </c>
      <c r="O27" s="3" t="inlineStr">
        <is>
          <t>Fr 19.03.: ≥ 32 ausgezahlt bis Di 16.03. und Endkontroll-Nachweis aus der PO vollständig · So 21.03., 20:00: 35 zu 149 € voll</t>
        </is>
      </c>
    </row>
    <row r="28">
      <c r="A28" s="10" t="n">
        <v>46474</v>
      </c>
      <c r="B28" s="11" t="inlineStr">
        <is>
          <t>W28</t>
        </is>
      </c>
      <c r="C28" s="11" t="n">
        <v>2620</v>
      </c>
      <c r="D28" s="11" t="n">
        <v>1050</v>
      </c>
      <c r="E28" s="12" t="n"/>
      <c r="F28" s="11" t="n">
        <v>7860</v>
      </c>
      <c r="G28" s="12" t="n"/>
      <c r="H28">
        <f>IF(OR(G28="",$C$3=""),"",G28-$C$3)</f>
        <v/>
      </c>
      <c r="J28" s="12" t="n"/>
      <c r="K28" s="11" t="n">
        <v>37</v>
      </c>
      <c r="L28" s="11" t="n">
        <v>35</v>
      </c>
      <c r="M28" s="12" t="n"/>
      <c r="N28">
        <f>IF(AND(E28="",H28="",J28="",M28=""),"offen",IF(OR(AND(E28&lt;&gt;"",D28&lt;&gt;"",E28&lt;D28),AND(M28&lt;&gt;"",L28&lt;&gt;"",M28&lt;L28)),"unter Alarm",IF(OR(AND(E28&lt;&gt;"",E28&lt;C28),AND(H28&lt;&gt;"",F28&lt;&gt;"",H28&lt;F28),AND(J28&lt;&gt;"",I28&lt;&gt;"",J28&lt;I28),AND(M28&lt;&gt;"",K28&lt;&gt;"",M28&lt;K28)),"unter Soll","im Plan")))</f>
        <v/>
      </c>
      <c r="O28" s="3" t="inlineStr">
        <is>
          <t>Mi 24.03.: Tracking da · bei Steuer (DAP): 40 ausgezahlt (35 + Stufe 2) · So 28.03.: Ware mit Tracking, Stufe 2 ≥ 2, Kasse deckt die Steuer</t>
        </is>
      </c>
    </row>
    <row r="29">
      <c r="A29" s="10" t="n">
        <v>46481</v>
      </c>
      <c r="B29" s="11" t="inlineStr">
        <is>
          <t>W29</t>
        </is>
      </c>
      <c r="C29" s="11" t="n">
        <v>2720</v>
      </c>
      <c r="D29" s="11" t="n">
        <v>1170</v>
      </c>
      <c r="E29" s="12" t="n"/>
      <c r="F29" s="11" t="n">
        <v>8160</v>
      </c>
      <c r="G29" s="12" t="n"/>
      <c r="H29">
        <f>IF(OR(G29="",$C$3=""),"",G29-$C$3)</f>
        <v/>
      </c>
      <c r="J29" s="12" t="n"/>
      <c r="K29" s="11" t="n">
        <v>43</v>
      </c>
      <c r="M29" s="12" t="n"/>
      <c r="N29">
        <f>IF(AND(E29="",H29="",J29="",M29=""),"offen",IF(OR(AND(E29&lt;&gt;"",D29&lt;&gt;"",E29&lt;D29),AND(M29&lt;&gt;"",L29&lt;&gt;"",M29&lt;L29)),"unter Alarm",IF(OR(AND(E29&lt;&gt;"",E29&lt;C29),AND(H29&lt;&gt;"",F29&lt;&gt;"",H29&lt;F29),AND(J29&lt;&gt;"",I29&lt;&gt;"",J29&lt;I29),AND(M29&lt;&gt;"",K29&lt;&gt;"",M29&lt;K29)),"unter Soll","im Plan")))</f>
        <v/>
      </c>
      <c r="O29" s="3" t="inlineStr">
        <is>
          <t>So 04.04.: Ware geprüft, Steuer bezahlt</t>
        </is>
      </c>
    </row>
    <row r="30">
      <c r="A30" s="10" t="n">
        <v>46488</v>
      </c>
      <c r="B30" s="11" t="inlineStr">
        <is>
          <t>W30</t>
        </is>
      </c>
      <c r="C30" s="11" t="n">
        <v>2820</v>
      </c>
      <c r="D30" s="11" t="n">
        <v>1290</v>
      </c>
      <c r="E30" s="12" t="n"/>
      <c r="F30" s="11" t="n">
        <v>8460</v>
      </c>
      <c r="G30" s="12" t="n"/>
      <c r="H30">
        <f>IF(OR(G30="",$C$3=""),"",G30-$C$3)</f>
        <v/>
      </c>
      <c r="J30" s="12" t="n"/>
      <c r="M30" s="12" t="n"/>
      <c r="N30">
        <f>IF(AND(E30="",H30="",J30="",M30=""),"offen",IF(OR(AND(E30&lt;&gt;"",D30&lt;&gt;"",E30&lt;D30),AND(M30&lt;&gt;"",L30&lt;&gt;"",M30&lt;L30)),"unter Alarm",IF(OR(AND(E30&lt;&gt;"",E30&lt;C30),AND(H30&lt;&gt;"",F30&lt;&gt;"",H30&lt;F30),AND(J30&lt;&gt;"",I30&lt;&gt;"",J30&lt;I30),AND(M30&lt;&gt;"",K30&lt;&gt;"",M30&lt;K30)),"unter Soll","im Plan")))</f>
        <v/>
      </c>
      <c r="O30" s="3" t="inlineStr">
        <is>
          <t>Sonntags-Check: Warteliste, Follower, Zusagen bzw. Vorbestellungen gegen das Soll, dazu Kassen-Ampel und Anmeldungen je 1.000 Views (Abschnitt Gates).</t>
        </is>
      </c>
    </row>
    <row r="31">
      <c r="A31" s="10" t="n">
        <v>46495</v>
      </c>
      <c r="B31" s="11" t="inlineStr">
        <is>
          <t>W31</t>
        </is>
      </c>
      <c r="C31" s="11" t="n">
        <v>2920</v>
      </c>
      <c r="D31" s="11" t="n">
        <v>1400</v>
      </c>
      <c r="E31" s="12" t="n"/>
      <c r="F31" s="11" t="n">
        <v>8760</v>
      </c>
      <c r="G31" s="12" t="n"/>
      <c r="H31">
        <f>IF(OR(G31="",$C$3=""),"",G31-$C$3)</f>
        <v/>
      </c>
      <c r="J31" s="12" t="n"/>
      <c r="M31" s="12" t="n"/>
      <c r="N31">
        <f>IF(AND(E31="",H31="",J31="",M31=""),"offen",IF(OR(AND(E31&lt;&gt;"",D31&lt;&gt;"",E31&lt;D31),AND(M31&lt;&gt;"",L31&lt;&gt;"",M31&lt;L31)),"unter Alarm",IF(OR(AND(E31&lt;&gt;"",E31&lt;C31),AND(H31&lt;&gt;"",F31&lt;&gt;"",H31&lt;F31),AND(J31&lt;&gt;"",I31&lt;&gt;"",J31&lt;I31),AND(M31&lt;&gt;"",K31&lt;&gt;"",M31&lt;K31)),"unter Soll","im Plan")))</f>
        <v/>
      </c>
      <c r="O31" s="3" t="inlineStr">
        <is>
          <t>Do 15.04.: Ware da (spätester Termin)</t>
        </is>
      </c>
    </row>
    <row r="32">
      <c r="A32" s="10" t="n">
        <v>46502</v>
      </c>
      <c r="B32" s="11" t="inlineStr">
        <is>
          <t>W32</t>
        </is>
      </c>
      <c r="C32" s="11" t="n">
        <v>3000</v>
      </c>
      <c r="D32" s="11" t="n">
        <v>1515</v>
      </c>
      <c r="E32" s="12" t="n"/>
      <c r="F32" s="11" t="n">
        <v>9000</v>
      </c>
      <c r="G32" s="12" t="n"/>
      <c r="H32">
        <f>IF(OR(G32="",$C$3=""),"",G32-$C$3)</f>
        <v/>
      </c>
      <c r="J32" s="12" t="n"/>
      <c r="K32" s="11" t="n">
        <v>72</v>
      </c>
      <c r="L32" s="11" t="n">
        <v>64</v>
      </c>
      <c r="M32" s="12" t="n"/>
      <c r="N32">
        <f>IF(AND(E32="",H32="",J32="",M32=""),"offen",IF(OR(AND(E32&lt;&gt;"",D32&lt;&gt;"",E32&lt;D32),AND(M32&lt;&gt;"",L32&lt;&gt;"",M32&lt;L32)),"unter Alarm",IF(OR(AND(E32&lt;&gt;"",E32&lt;C32),AND(H32&lt;&gt;"",F32&lt;&gt;"",H32&lt;F32),AND(J32&lt;&gt;"",I32&lt;&gt;"",J32&lt;I32),AND(M32&lt;&gt;"",K32&lt;&gt;"",M32&lt;K32)),"unter Soll","im Plan")))</f>
        <v/>
      </c>
      <c r="O32" s="3" t="inlineStr">
        <is>
          <t>Do 22.–So 25.04.: Do 21:00 ≥ 15 · Fr 19:00 ≥ 26 (Schätzung aus Crowdfunding: rund 90 % der Listenkäufer kaufen in 48 h [M-Q27], für Mode nicht belegt) · So ≥ 29 netto</t>
        </is>
      </c>
    </row>
  </sheetData>
  <mergeCells count="1">
    <mergeCell ref="A3:B3"/>
  </mergeCells>
  <conditionalFormatting sqref="N5:N32">
    <cfRule type="expression" priority="1" dxfId="0">
      <formula>$N5="im Plan"</formula>
    </cfRule>
    <cfRule type="expression" priority="2" dxfId="1">
      <formula>$N5="unter Soll"</formula>
    </cfRule>
    <cfRule type="expression" priority="3" dxfId="2">
      <formula>$N5="unter Alarm"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F6518"/>
    <outlinePr summaryBelow="1" summaryRight="1"/>
    <pageSetUpPr/>
  </sheetPr>
  <dimension ref="A1:I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4" customWidth="1" min="4" max="4"/>
    <col width="12" customWidth="1" min="5" max="5"/>
    <col width="13" customWidth="1" min="6" max="6"/>
    <col width="14" customWidth="1" min="7" max="7"/>
    <col width="10" customWidth="1" min="8" max="8"/>
    <col width="60" customWidth="1" min="9" max="9"/>
  </cols>
  <sheetData>
    <row r="1">
      <c r="A1" s="6" t="inlineStr">
        <is>
          <t>Kasse · Kassen-Ampel jeden Sonntag</t>
        </is>
      </c>
    </row>
    <row r="2">
      <c r="A2" s="7" t="inlineStr">
        <is>
          <t>K = Projektkonto heute · V = Vorbestellungen bezahlt und ausgezahlt · F = fällig bis zum nächsten harten Gate · R = Rücklagen (Steuer falls fällig + 3 Paar Erstattungsreserve ~440 €). Ampel = K − F − R: grün ≥ 300 €, gelb 0–300 € (keine Ausgaben außerhalb des Plans), rot &lt; 0 (Ausgaben-Stopp, Notfall-Leiter).</t>
        </is>
      </c>
    </row>
    <row r="3" ht="32" customHeight="1">
      <c r="A3" s="9" t="inlineStr">
        <is>
          <t>Sonntag</t>
        </is>
      </c>
      <c r="B3" s="9" t="inlineStr">
        <is>
          <t>Woche</t>
        </is>
      </c>
      <c r="C3" s="9" t="inlineStr">
        <is>
          <t>K Konto €</t>
        </is>
      </c>
      <c r="D3" s="9" t="inlineStr">
        <is>
          <t>V ausgezahlt €</t>
        </is>
      </c>
      <c r="E3" s="9" t="inlineStr">
        <is>
          <t>F fällig €</t>
        </is>
      </c>
      <c r="F3" s="9" t="inlineStr">
        <is>
          <t>R Rücklagen €</t>
        </is>
      </c>
      <c r="G3" s="9" t="inlineStr">
        <is>
          <t>Ampel K−F−R €</t>
        </is>
      </c>
      <c r="H3" s="9" t="inlineStr">
        <is>
          <t>Status</t>
        </is>
      </c>
      <c r="I3" s="9" t="inlineStr">
        <is>
          <t>Notiz (z. B. Auszahlungsdauer, Brücke, Support-Antwort)</t>
        </is>
      </c>
    </row>
    <row r="4">
      <c r="A4" s="10" t="n">
        <v>46313</v>
      </c>
      <c r="B4" s="11" t="inlineStr">
        <is>
          <t>W5</t>
        </is>
      </c>
      <c r="C4" s="13" t="n"/>
      <c r="D4" s="13" t="n"/>
      <c r="E4" s="13" t="n"/>
      <c r="F4" s="13" t="n"/>
      <c r="G4" s="14">
        <f>IF(C4="","",C4-N(E4)-N(F4))</f>
        <v/>
      </c>
      <c r="H4">
        <f>IF(G4="","",IF(G4&gt;=300,"grün",IF(G4&gt;=0,"gelb","rot")))</f>
        <v/>
      </c>
    </row>
    <row r="5">
      <c r="A5" s="10" t="n">
        <v>46320</v>
      </c>
      <c r="B5" s="11" t="inlineStr">
        <is>
          <t>W6</t>
        </is>
      </c>
      <c r="C5" s="13" t="n"/>
      <c r="D5" s="13" t="n"/>
      <c r="E5" s="13" t="n"/>
      <c r="F5" s="13" t="n"/>
      <c r="G5" s="14">
        <f>IF(C5="","",C5-N(E5)-N(F5))</f>
        <v/>
      </c>
      <c r="H5">
        <f>IF(G5="","",IF(G5&gt;=300,"grün",IF(G5&gt;=0,"gelb","rot")))</f>
        <v/>
      </c>
    </row>
    <row r="6">
      <c r="A6" s="10" t="n">
        <v>46327</v>
      </c>
      <c r="B6" s="11" t="inlineStr">
        <is>
          <t>W7</t>
        </is>
      </c>
      <c r="C6" s="13" t="n"/>
      <c r="D6" s="13" t="n"/>
      <c r="E6" s="13" t="n"/>
      <c r="F6" s="13" t="n"/>
      <c r="G6" s="14">
        <f>IF(C6="","",C6-N(E6)-N(F6))</f>
        <v/>
      </c>
      <c r="H6">
        <f>IF(G6="","",IF(G6&gt;=300,"grün",IF(G6&gt;=0,"gelb","rot")))</f>
        <v/>
      </c>
    </row>
    <row r="7">
      <c r="A7" s="10" t="n">
        <v>46334</v>
      </c>
      <c r="B7" s="11" t="inlineStr">
        <is>
          <t>W8</t>
        </is>
      </c>
      <c r="C7" s="13" t="n"/>
      <c r="D7" s="13" t="n"/>
      <c r="E7" s="13" t="n"/>
      <c r="F7" s="13" t="n"/>
      <c r="G7" s="14">
        <f>IF(C7="","",C7-N(E7)-N(F7))</f>
        <v/>
      </c>
      <c r="H7">
        <f>IF(G7="","",IF(G7&gt;=300,"grün",IF(G7&gt;=0,"gelb","rot")))</f>
        <v/>
      </c>
    </row>
    <row r="8">
      <c r="A8" s="10" t="n">
        <v>46341</v>
      </c>
      <c r="B8" s="11" t="inlineStr">
        <is>
          <t>W9</t>
        </is>
      </c>
      <c r="C8" s="13" t="n"/>
      <c r="D8" s="13" t="n"/>
      <c r="E8" s="13" t="n"/>
      <c r="F8" s="13" t="n"/>
      <c r="G8" s="14">
        <f>IF(C8="","",C8-N(E8)-N(F8))</f>
        <v/>
      </c>
      <c r="H8">
        <f>IF(G8="","",IF(G8&gt;=300,"grün",IF(G8&gt;=0,"gelb","rot")))</f>
        <v/>
      </c>
    </row>
    <row r="9">
      <c r="A9" s="10" t="n">
        <v>46348</v>
      </c>
      <c r="B9" s="11" t="inlineStr">
        <is>
          <t>W10</t>
        </is>
      </c>
      <c r="C9" s="13" t="n"/>
      <c r="D9" s="13" t="n"/>
      <c r="E9" s="13" t="n"/>
      <c r="F9" s="13" t="n"/>
      <c r="G9" s="14">
        <f>IF(C9="","",C9-N(E9)-N(F9))</f>
        <v/>
      </c>
      <c r="H9">
        <f>IF(G9="","",IF(G9&gt;=300,"grün",IF(G9&gt;=0,"gelb","rot")))</f>
        <v/>
      </c>
    </row>
    <row r="10">
      <c r="A10" s="10" t="n">
        <v>46355</v>
      </c>
      <c r="B10" s="11" t="inlineStr">
        <is>
          <t>W11</t>
        </is>
      </c>
      <c r="C10" s="13" t="n"/>
      <c r="D10" s="13" t="n"/>
      <c r="E10" s="13" t="n"/>
      <c r="F10" s="13" t="n"/>
      <c r="G10" s="14">
        <f>IF(C10="","",C10-N(E10)-N(F10))</f>
        <v/>
      </c>
      <c r="H10">
        <f>IF(G10="","",IF(G10&gt;=300,"grün",IF(G10&gt;=0,"gelb","rot")))</f>
        <v/>
      </c>
    </row>
    <row r="11">
      <c r="A11" s="10" t="n">
        <v>46362</v>
      </c>
      <c r="B11" s="11" t="inlineStr">
        <is>
          <t>W12</t>
        </is>
      </c>
      <c r="C11" s="13" t="n"/>
      <c r="D11" s="13" t="n"/>
      <c r="E11" s="13" t="n"/>
      <c r="F11" s="13" t="n"/>
      <c r="G11" s="14">
        <f>IF(C11="","",C11-N(E11)-N(F11))</f>
        <v/>
      </c>
      <c r="H11">
        <f>IF(G11="","",IF(G11&gt;=300,"grün",IF(G11&gt;=0,"gelb","rot")))</f>
        <v/>
      </c>
    </row>
    <row r="12">
      <c r="A12" s="10" t="n">
        <v>46369</v>
      </c>
      <c r="B12" s="11" t="inlineStr">
        <is>
          <t>W13</t>
        </is>
      </c>
      <c r="C12" s="13" t="n"/>
      <c r="D12" s="13" t="n"/>
      <c r="E12" s="13" t="n"/>
      <c r="F12" s="13" t="n"/>
      <c r="G12" s="14">
        <f>IF(C12="","",C12-N(E12)-N(F12))</f>
        <v/>
      </c>
      <c r="H12">
        <f>IF(G12="","",IF(G12&gt;=300,"grün",IF(G12&gt;=0,"gelb","rot")))</f>
        <v/>
      </c>
    </row>
    <row r="13">
      <c r="A13" s="10" t="n">
        <v>46376</v>
      </c>
      <c r="B13" s="11" t="inlineStr">
        <is>
          <t>W14</t>
        </is>
      </c>
      <c r="C13" s="13" t="n"/>
      <c r="D13" s="13" t="n"/>
      <c r="E13" s="13" t="n"/>
      <c r="F13" s="13" t="n"/>
      <c r="G13" s="14">
        <f>IF(C13="","",C13-N(E13)-N(F13))</f>
        <v/>
      </c>
      <c r="H13">
        <f>IF(G13="","",IF(G13&gt;=300,"grün",IF(G13&gt;=0,"gelb","rot")))</f>
        <v/>
      </c>
    </row>
    <row r="14">
      <c r="A14" s="10" t="n">
        <v>46383</v>
      </c>
      <c r="B14" s="11" t="inlineStr">
        <is>
          <t>W15</t>
        </is>
      </c>
      <c r="C14" s="13" t="n"/>
      <c r="D14" s="13" t="n"/>
      <c r="E14" s="13" t="n"/>
      <c r="F14" s="13" t="n"/>
      <c r="G14" s="14">
        <f>IF(C14="","",C14-N(E14)-N(F14))</f>
        <v/>
      </c>
      <c r="H14">
        <f>IF(G14="","",IF(G14&gt;=300,"grün",IF(G14&gt;=0,"gelb","rot")))</f>
        <v/>
      </c>
    </row>
    <row r="15">
      <c r="A15" s="10" t="n">
        <v>46390</v>
      </c>
      <c r="B15" s="11" t="inlineStr">
        <is>
          <t>W16</t>
        </is>
      </c>
      <c r="C15" s="13" t="n"/>
      <c r="D15" s="13" t="n"/>
      <c r="E15" s="13" t="n"/>
      <c r="F15" s="13" t="n"/>
      <c r="G15" s="14">
        <f>IF(C15="","",C15-N(E15)-N(F15))</f>
        <v/>
      </c>
      <c r="H15">
        <f>IF(G15="","",IF(G15&gt;=300,"grün",IF(G15&gt;=0,"gelb","rot")))</f>
        <v/>
      </c>
    </row>
    <row r="16">
      <c r="A16" s="10" t="n">
        <v>46397</v>
      </c>
      <c r="B16" s="11" t="inlineStr">
        <is>
          <t>W17</t>
        </is>
      </c>
      <c r="C16" s="13" t="n"/>
      <c r="D16" s="13" t="n"/>
      <c r="E16" s="13" t="n"/>
      <c r="F16" s="13" t="n"/>
      <c r="G16" s="14">
        <f>IF(C16="","",C16-N(E16)-N(F16))</f>
        <v/>
      </c>
      <c r="H16">
        <f>IF(G16="","",IF(G16&gt;=300,"grün",IF(G16&gt;=0,"gelb","rot")))</f>
        <v/>
      </c>
    </row>
    <row r="17">
      <c r="A17" s="10" t="n">
        <v>46404</v>
      </c>
      <c r="B17" s="11" t="inlineStr">
        <is>
          <t>W18</t>
        </is>
      </c>
      <c r="C17" s="13" t="n"/>
      <c r="D17" s="13" t="n"/>
      <c r="E17" s="13" t="n"/>
      <c r="F17" s="13" t="n"/>
      <c r="G17" s="14">
        <f>IF(C17="","",C17-N(E17)-N(F17))</f>
        <v/>
      </c>
      <c r="H17">
        <f>IF(G17="","",IF(G17&gt;=300,"grün",IF(G17&gt;=0,"gelb","rot")))</f>
        <v/>
      </c>
    </row>
    <row r="18">
      <c r="A18" s="10" t="n">
        <v>46411</v>
      </c>
      <c r="B18" s="11" t="inlineStr">
        <is>
          <t>W19</t>
        </is>
      </c>
      <c r="C18" s="13" t="n"/>
      <c r="D18" s="13" t="n"/>
      <c r="E18" s="13" t="n"/>
      <c r="F18" s="13" t="n"/>
      <c r="G18" s="14">
        <f>IF(C18="","",C18-N(E18)-N(F18))</f>
        <v/>
      </c>
      <c r="H18">
        <f>IF(G18="","",IF(G18&gt;=300,"grün",IF(G18&gt;=0,"gelb","rot")))</f>
        <v/>
      </c>
    </row>
    <row r="19">
      <c r="A19" s="10" t="n">
        <v>46418</v>
      </c>
      <c r="B19" s="11" t="inlineStr">
        <is>
          <t>W20</t>
        </is>
      </c>
      <c r="C19" s="13" t="n"/>
      <c r="D19" s="13" t="n"/>
      <c r="E19" s="13" t="n"/>
      <c r="F19" s="13" t="n"/>
      <c r="G19" s="14">
        <f>IF(C19="","",C19-N(E19)-N(F19))</f>
        <v/>
      </c>
      <c r="H19">
        <f>IF(G19="","",IF(G19&gt;=300,"grün",IF(G19&gt;=0,"gelb","rot")))</f>
        <v/>
      </c>
    </row>
    <row r="20">
      <c r="A20" s="10" t="n">
        <v>46425</v>
      </c>
      <c r="B20" s="11" t="inlineStr">
        <is>
          <t>W21</t>
        </is>
      </c>
      <c r="C20" s="13" t="n"/>
      <c r="D20" s="13" t="n"/>
      <c r="E20" s="13" t="n"/>
      <c r="F20" s="13" t="n"/>
      <c r="G20" s="14">
        <f>IF(C20="","",C20-N(E20)-N(F20))</f>
        <v/>
      </c>
      <c r="H20">
        <f>IF(G20="","",IF(G20&gt;=300,"grün",IF(G20&gt;=0,"gelb","rot")))</f>
        <v/>
      </c>
    </row>
    <row r="21">
      <c r="A21" s="10" t="n">
        <v>46432</v>
      </c>
      <c r="B21" s="11" t="inlineStr">
        <is>
          <t>W22</t>
        </is>
      </c>
      <c r="C21" s="13" t="n"/>
      <c r="D21" s="13" t="n"/>
      <c r="E21" s="13" t="n"/>
      <c r="F21" s="13" t="n"/>
      <c r="G21" s="14">
        <f>IF(C21="","",C21-N(E21)-N(F21))</f>
        <v/>
      </c>
      <c r="H21">
        <f>IF(G21="","",IF(G21&gt;=300,"grün",IF(G21&gt;=0,"gelb","rot")))</f>
        <v/>
      </c>
    </row>
    <row r="22">
      <c r="A22" s="10" t="n">
        <v>46439</v>
      </c>
      <c r="B22" s="11" t="inlineStr">
        <is>
          <t>W23</t>
        </is>
      </c>
      <c r="C22" s="13" t="n"/>
      <c r="D22" s="13" t="n"/>
      <c r="E22" s="13" t="n"/>
      <c r="F22" s="13" t="n"/>
      <c r="G22" s="14">
        <f>IF(C22="","",C22-N(E22)-N(F22))</f>
        <v/>
      </c>
      <c r="H22">
        <f>IF(G22="","",IF(G22&gt;=300,"grün",IF(G22&gt;=0,"gelb","rot")))</f>
        <v/>
      </c>
    </row>
    <row r="23">
      <c r="A23" s="10" t="n">
        <v>46446</v>
      </c>
      <c r="B23" s="11" t="inlineStr">
        <is>
          <t>W24</t>
        </is>
      </c>
      <c r="C23" s="13" t="n"/>
      <c r="D23" s="13" t="n"/>
      <c r="E23" s="13" t="n"/>
      <c r="F23" s="13" t="n"/>
      <c r="G23" s="14">
        <f>IF(C23="","",C23-N(E23)-N(F23))</f>
        <v/>
      </c>
      <c r="H23">
        <f>IF(G23="","",IF(G23&gt;=300,"grün",IF(G23&gt;=0,"gelb","rot")))</f>
        <v/>
      </c>
    </row>
    <row r="24">
      <c r="A24" s="10" t="n">
        <v>46453</v>
      </c>
      <c r="B24" s="11" t="inlineStr">
        <is>
          <t>W25</t>
        </is>
      </c>
      <c r="C24" s="13" t="n"/>
      <c r="D24" s="13" t="n"/>
      <c r="E24" s="13" t="n"/>
      <c r="F24" s="13" t="n"/>
      <c r="G24" s="14">
        <f>IF(C24="","",C24-N(E24)-N(F24))</f>
        <v/>
      </c>
      <c r="H24">
        <f>IF(G24="","",IF(G24&gt;=300,"grün",IF(G24&gt;=0,"gelb","rot")))</f>
        <v/>
      </c>
    </row>
    <row r="25">
      <c r="A25" s="10" t="n">
        <v>46460</v>
      </c>
      <c r="B25" s="11" t="inlineStr">
        <is>
          <t>W26</t>
        </is>
      </c>
      <c r="C25" s="13" t="n"/>
      <c r="D25" s="13" t="n"/>
      <c r="E25" s="13" t="n"/>
      <c r="F25" s="13" t="n"/>
      <c r="G25" s="14">
        <f>IF(C25="","",C25-N(E25)-N(F25))</f>
        <v/>
      </c>
      <c r="H25">
        <f>IF(G25="","",IF(G25&gt;=300,"grün",IF(G25&gt;=0,"gelb","rot")))</f>
        <v/>
      </c>
    </row>
    <row r="26">
      <c r="A26" s="10" t="n">
        <v>46467</v>
      </c>
      <c r="B26" s="11" t="inlineStr">
        <is>
          <t>W27</t>
        </is>
      </c>
      <c r="C26" s="13" t="n"/>
      <c r="D26" s="13" t="n"/>
      <c r="E26" s="13" t="n"/>
      <c r="F26" s="13" t="n"/>
      <c r="G26" s="14">
        <f>IF(C26="","",C26-N(E26)-N(F26))</f>
        <v/>
      </c>
      <c r="H26">
        <f>IF(G26="","",IF(G26&gt;=300,"grün",IF(G26&gt;=0,"gelb","rot")))</f>
        <v/>
      </c>
    </row>
    <row r="27">
      <c r="A27" s="10" t="n">
        <v>46474</v>
      </c>
      <c r="B27" s="11" t="inlineStr">
        <is>
          <t>W28</t>
        </is>
      </c>
      <c r="C27" s="13" t="n"/>
      <c r="D27" s="13" t="n"/>
      <c r="E27" s="13" t="n"/>
      <c r="F27" s="13" t="n"/>
      <c r="G27" s="14">
        <f>IF(C27="","",C27-N(E27)-N(F27))</f>
        <v/>
      </c>
      <c r="H27">
        <f>IF(G27="","",IF(G27&gt;=300,"grün",IF(G27&gt;=0,"gelb","rot")))</f>
        <v/>
      </c>
    </row>
    <row r="28">
      <c r="A28" s="10" t="n">
        <v>46481</v>
      </c>
      <c r="B28" s="11" t="inlineStr">
        <is>
          <t>W29</t>
        </is>
      </c>
      <c r="C28" s="13" t="n"/>
      <c r="D28" s="13" t="n"/>
      <c r="E28" s="13" t="n"/>
      <c r="F28" s="13" t="n"/>
      <c r="G28" s="14">
        <f>IF(C28="","",C28-N(E28)-N(F28))</f>
        <v/>
      </c>
      <c r="H28">
        <f>IF(G28="","",IF(G28&gt;=300,"grün",IF(G28&gt;=0,"gelb","rot")))</f>
        <v/>
      </c>
    </row>
    <row r="29">
      <c r="A29" s="10" t="n">
        <v>46488</v>
      </c>
      <c r="B29" s="11" t="inlineStr">
        <is>
          <t>W30</t>
        </is>
      </c>
      <c r="C29" s="13" t="n"/>
      <c r="D29" s="13" t="n"/>
      <c r="E29" s="13" t="n"/>
      <c r="F29" s="13" t="n"/>
      <c r="G29" s="14">
        <f>IF(C29="","",C29-N(E29)-N(F29))</f>
        <v/>
      </c>
      <c r="H29">
        <f>IF(G29="","",IF(G29&gt;=300,"grün",IF(G29&gt;=0,"gelb","rot")))</f>
        <v/>
      </c>
    </row>
    <row r="30">
      <c r="A30" s="10" t="n">
        <v>46495</v>
      </c>
      <c r="B30" s="11" t="inlineStr">
        <is>
          <t>W31</t>
        </is>
      </c>
      <c r="C30" s="13" t="n"/>
      <c r="D30" s="13" t="n"/>
      <c r="E30" s="13" t="n"/>
      <c r="F30" s="13" t="n"/>
      <c r="G30" s="14">
        <f>IF(C30="","",C30-N(E30)-N(F30))</f>
        <v/>
      </c>
      <c r="H30">
        <f>IF(G30="","",IF(G30&gt;=300,"grün",IF(G30&gt;=0,"gelb","rot")))</f>
        <v/>
      </c>
    </row>
    <row r="31">
      <c r="A31" s="10" t="n">
        <v>46502</v>
      </c>
      <c r="B31" s="11" t="inlineStr">
        <is>
          <t>W32</t>
        </is>
      </c>
      <c r="C31" s="13" t="n"/>
      <c r="D31" s="13" t="n"/>
      <c r="E31" s="13" t="n"/>
      <c r="F31" s="13" t="n"/>
      <c r="G31" s="14">
        <f>IF(C31="","",C31-N(E31)-N(F31))</f>
        <v/>
      </c>
      <c r="H31">
        <f>IF(G31="","",IF(G31&gt;=300,"grün",IF(G31&gt;=0,"gelb","rot")))</f>
        <v/>
      </c>
    </row>
  </sheetData>
  <conditionalFormatting sqref="H4:H31">
    <cfRule type="expression" priority="1" dxfId="0">
      <formula>$H4="grün"</formula>
    </cfRule>
    <cfRule type="expression" priority="2" dxfId="1">
      <formula>$H4="gelb"</formula>
    </cfRule>
    <cfRule type="expression" priority="3" dxfId="2">
      <formula>$H4="rot"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F6518"/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10" customWidth="1" min="3" max="3"/>
    <col width="18" customWidth="1" min="4" max="4"/>
    <col width="12" customWidth="1" min="5" max="5"/>
    <col width="10" customWidth="1" min="6" max="6"/>
    <col width="12" customWidth="1" min="7" max="7"/>
  </cols>
  <sheetData>
    <row r="1">
      <c r="A1" s="6" t="inlineStr">
        <is>
          <t>Budget · Plan gegen Ist</t>
        </is>
      </c>
    </row>
    <row r="2">
      <c r="A2" s="7" t="inlineStr">
        <is>
          <t>Plan Rev. 6: Kapitalbedarf 9.380 €, Eigenbudget 4.500 €, Lücke 4.880 €. Jede ungeplante Ausgabe erhöht die Schwelle 2a: je 146 € eine Vorbestellung mehr.</t>
        </is>
      </c>
    </row>
    <row r="3" ht="32" customHeight="1">
      <c r="A3" s="9" t="inlineStr">
        <is>
          <t>Phase</t>
        </is>
      </c>
      <c r="B3" s="9" t="inlineStr">
        <is>
          <t>Posten</t>
        </is>
      </c>
      <c r="C3" s="9" t="inlineStr">
        <is>
          <t>Plan €</t>
        </is>
      </c>
      <c r="D3" s="9" t="inlineStr">
        <is>
          <t>Fällig</t>
        </is>
      </c>
      <c r="E3" s="9" t="inlineStr">
        <is>
          <t>Bezahlt am</t>
        </is>
      </c>
      <c r="F3" s="9" t="inlineStr">
        <is>
          <t>Ist €</t>
        </is>
      </c>
      <c r="G3" s="9" t="inlineStr">
        <is>
          <t>Differenz €</t>
        </is>
      </c>
    </row>
    <row r="4">
      <c r="A4" s="11" t="inlineStr">
        <is>
          <t>Entwicklung</t>
        </is>
      </c>
      <c r="B4" s="11" t="inlineStr">
        <is>
          <t>Schnitt + Gradierung W30–W38</t>
        </is>
      </c>
      <c r="C4" s="15" t="n">
        <v>300</v>
      </c>
      <c r="D4" s="11" t="inlineStr">
        <is>
          <t>Nov 26</t>
        </is>
      </c>
      <c r="E4" s="16" t="n"/>
      <c r="F4" s="14" t="n"/>
      <c r="G4" s="14">
        <f>IF(F4="","",F4-N(C4))</f>
        <v/>
      </c>
    </row>
    <row r="5">
      <c r="A5" s="11" t="inlineStr">
        <is>
          <t>Entwicklung</t>
        </is>
      </c>
      <c r="B5" s="11" t="inlineStr">
        <is>
          <t>Digitizing Jeans, 5 Elemente</t>
        </is>
      </c>
      <c r="C5" s="15" t="n">
        <v>320</v>
      </c>
      <c r="D5" s="11" t="inlineStr">
        <is>
          <t>Nov 26</t>
        </is>
      </c>
      <c r="E5" s="16" t="n"/>
      <c r="F5" s="14" t="n"/>
      <c r="G5" s="14">
        <f>IF(F5="","",F5-N(C5))</f>
        <v/>
      </c>
    </row>
    <row r="6">
      <c r="A6" s="11" t="inlineStr">
        <is>
          <t>Entwicklung</t>
        </is>
      </c>
      <c r="B6" s="3" t="inlineStr">
        <is>
          <t>Digitizing Zipper- und Polo-Bänder, Medaillon</t>
        </is>
      </c>
      <c r="C6" s="15" t="n">
        <v>240</v>
      </c>
      <c r="D6" s="11" t="inlineStr">
        <is>
          <t>Nov 26</t>
        </is>
      </c>
      <c r="E6" s="16" t="n"/>
      <c r="F6" s="14" t="n"/>
      <c r="G6" s="14">
        <f>IF(F6="","",F6-N(C6))</f>
        <v/>
      </c>
    </row>
    <row r="7">
      <c r="A7" s="11" t="inlineStr">
        <is>
          <t>Entwicklung</t>
        </is>
      </c>
      <c r="B7" s="11" t="inlineStr">
        <is>
          <t>Stickproben, gewaschen</t>
        </is>
      </c>
      <c r="C7" s="15" t="n">
        <v>150</v>
      </c>
      <c r="D7" s="11" t="inlineStr">
        <is>
          <t>Nov 26</t>
        </is>
      </c>
      <c r="E7" s="16" t="n"/>
      <c r="F7" s="14" t="n"/>
      <c r="G7" s="14">
        <f>IF(F7="","",F7-N(C7))</f>
        <v/>
      </c>
    </row>
    <row r="8">
      <c r="A8" s="11" t="inlineStr">
        <is>
          <t>Entwicklung</t>
        </is>
      </c>
      <c r="B8" s="11" t="inlineStr">
        <is>
          <t>Proto W32</t>
        </is>
      </c>
      <c r="C8" s="15" t="n">
        <v>180</v>
      </c>
      <c r="D8" s="11" t="inlineStr">
        <is>
          <t>Nov 26</t>
        </is>
      </c>
      <c r="E8" s="16" t="n"/>
      <c r="F8" s="14" t="n"/>
      <c r="G8" s="14">
        <f>IF(F8="","",F8-N(C8))</f>
        <v/>
      </c>
    </row>
    <row r="9">
      <c r="A9" s="11" t="inlineStr">
        <is>
          <t>Entwicklung</t>
        </is>
      </c>
      <c r="B9" s="11" t="inlineStr">
        <is>
          <t>PP-Sample</t>
        </is>
      </c>
      <c r="C9" s="15" t="n">
        <v>220</v>
      </c>
      <c r="D9" s="11" t="inlineStr">
        <is>
          <t>Dez 26</t>
        </is>
      </c>
      <c r="E9" s="16" t="n"/>
      <c r="F9" s="14" t="n"/>
      <c r="G9" s="14">
        <f>IF(F9="","",F9-N(C9))</f>
        <v/>
      </c>
    </row>
    <row r="10">
      <c r="A10" s="11" t="inlineStr">
        <is>
          <t>Entwicklung</t>
        </is>
      </c>
      <c r="B10" s="11" t="inlineStr">
        <is>
          <t>Stoffmuster, Lab Dips, Waschtests</t>
        </is>
      </c>
      <c r="C10" s="15" t="n">
        <v>90</v>
      </c>
      <c r="D10" s="11" t="inlineStr">
        <is>
          <t>Nov 26</t>
        </is>
      </c>
      <c r="E10" s="16" t="n"/>
      <c r="F10" s="14" t="n"/>
      <c r="G10" s="14">
        <f>IF(F10="","",F10-N(C10))</f>
        <v/>
      </c>
    </row>
    <row r="11">
      <c r="A11" s="11" t="inlineStr">
        <is>
          <t>Entwicklung</t>
        </is>
      </c>
      <c r="B11" s="11" t="inlineStr">
        <is>
          <t>Labels, Hangtags, Knopf-Gravur (Setup)</t>
        </is>
      </c>
      <c r="C11" s="15" t="n">
        <v>150</v>
      </c>
      <c r="D11" s="11" t="inlineStr">
        <is>
          <t>Dez 26</t>
        </is>
      </c>
      <c r="E11" s="16" t="n"/>
      <c r="F11" s="14" t="n"/>
      <c r="G11" s="14">
        <f>IF(F11="","",F11-N(C11))</f>
        <v/>
      </c>
    </row>
    <row r="12">
      <c r="A12" s="11" t="inlineStr">
        <is>
          <t>Entwicklung</t>
        </is>
      </c>
      <c r="B12" s="11" t="inlineStr">
        <is>
          <t>Label-Patch D, 3 Muster</t>
        </is>
      </c>
      <c r="C12" s="15" t="n">
        <v>80</v>
      </c>
      <c r="D12" s="11" t="inlineStr">
        <is>
          <t>Nov 26</t>
        </is>
      </c>
      <c r="E12" s="16" t="n"/>
      <c r="F12" s="14" t="n"/>
      <c r="G12" s="14">
        <f>IF(F12="","",F12-N(C12))</f>
        <v/>
      </c>
    </row>
    <row r="13">
      <c r="A13" s="11" t="inlineStr">
        <is>
          <t>Entwicklung</t>
        </is>
      </c>
      <c r="B13" s="3" t="inlineStr">
        <is>
          <t>Blank-Muster Berlin (Zipper + Polo, 2 Sticker)</t>
        </is>
      </c>
      <c r="C13" s="15" t="n">
        <v>180</v>
      </c>
      <c r="D13" s="11" t="inlineStr">
        <is>
          <t>Nov 26</t>
        </is>
      </c>
      <c r="E13" s="16" t="n"/>
      <c r="F13" s="14" t="n"/>
      <c r="G13" s="14">
        <f>IF(F13="","",F13-N(C13))</f>
        <v/>
      </c>
    </row>
    <row r="14">
      <c r="A14" s="11" t="inlineStr">
        <is>
          <t>Entwicklung</t>
        </is>
      </c>
      <c r="B14" s="11" t="inlineStr">
        <is>
          <t>Chenille-Muster (nur falls gewählt)</t>
        </is>
      </c>
      <c r="C14" s="15" t="n">
        <v>120</v>
      </c>
      <c r="D14" s="11" t="inlineStr">
        <is>
          <t>Jan 27</t>
        </is>
      </c>
      <c r="E14" s="16" t="n"/>
      <c r="F14" s="14" t="n"/>
      <c r="G14" s="14">
        <f>IF(F14="","",F14-N(C14))</f>
        <v/>
      </c>
    </row>
    <row r="15">
      <c r="A15" s="11" t="inlineStr">
        <is>
          <t>Entwicklung</t>
        </is>
      </c>
      <c r="B15" s="11" t="inlineStr">
        <is>
          <t>Shopify bis April + Domain</t>
        </is>
      </c>
      <c r="C15" s="15" t="n">
        <v>150</v>
      </c>
      <c r="D15" s="11" t="inlineStr">
        <is>
          <t>Okt 26–Apr 27</t>
        </is>
      </c>
      <c r="E15" s="16" t="n"/>
      <c r="F15" s="14" t="n"/>
      <c r="G15" s="14">
        <f>IF(F15="","",F15-N(C15))</f>
        <v/>
      </c>
    </row>
    <row r="16">
      <c r="A16" s="11" t="inlineStr">
        <is>
          <t>Entwicklung</t>
        </is>
      </c>
      <c r="B16" s="11" t="inlineStr">
        <is>
          <t>Lookbook-Shoot</t>
        </is>
      </c>
      <c r="C16" s="15" t="n">
        <v>150</v>
      </c>
      <c r="D16" s="11" t="inlineStr">
        <is>
          <t>Feb 27</t>
        </is>
      </c>
      <c r="E16" s="16" t="n"/>
      <c r="F16" s="14" t="n"/>
      <c r="G16" s="14">
        <f>IF(F16="","",F16-N(C16))</f>
        <v/>
      </c>
    </row>
    <row r="17">
      <c r="A17" s="11" t="inlineStr">
        <is>
          <t>Produktion</t>
        </is>
      </c>
      <c r="B17" s="11" t="inlineStr">
        <is>
          <t>Label-Patch D, 110 Stück</t>
        </is>
      </c>
      <c r="C17" s="15" t="n">
        <v>330</v>
      </c>
      <c r="D17" s="11" t="inlineStr">
        <is>
          <t>Dez 26</t>
        </is>
      </c>
      <c r="E17" s="16" t="n"/>
      <c r="F17" s="14" t="n"/>
      <c r="G17" s="14">
        <f>IF(F17="","",F17-N(C17))</f>
        <v/>
      </c>
    </row>
    <row r="18">
      <c r="A18" s="11" t="inlineStr">
        <is>
          <t>Produktion</t>
        </is>
      </c>
      <c r="B18" s="11" t="inlineStr">
        <is>
          <t>Anzahlung 50 % (100 × ~60 €)</t>
        </is>
      </c>
      <c r="C18" s="15" t="n">
        <v>3000</v>
      </c>
      <c r="D18" s="11" t="inlineStr">
        <is>
          <t>Feb 27</t>
        </is>
      </c>
      <c r="E18" s="16" t="n"/>
      <c r="F18" s="14" t="n"/>
      <c r="G18" s="14">
        <f>IF(F18="","",F18-N(C18))</f>
        <v/>
      </c>
    </row>
    <row r="19">
      <c r="A19" s="11" t="inlineStr">
        <is>
          <t>Produktion</t>
        </is>
      </c>
      <c r="B19" s="11" t="inlineStr">
        <is>
          <t>Restzahlung 50 %</t>
        </is>
      </c>
      <c r="C19" s="15" t="n">
        <v>3000</v>
      </c>
      <c r="D19" s="11" t="inlineStr">
        <is>
          <t>Mär 27</t>
        </is>
      </c>
      <c r="E19" s="16" t="n"/>
      <c r="F19" s="14" t="n"/>
      <c r="G19" s="14">
        <f>IF(F19="","",F19-N(C19))</f>
        <v/>
      </c>
    </row>
    <row r="20">
      <c r="A20" s="11" t="inlineStr">
        <is>
          <t>Launch</t>
        </is>
      </c>
      <c r="B20" s="11" t="inlineStr">
        <is>
          <t>Verpackung inkl. Hangtags</t>
        </is>
      </c>
      <c r="C20" s="15" t="n">
        <v>240</v>
      </c>
      <c r="D20" s="11" t="inlineStr">
        <is>
          <t>Feb 27</t>
        </is>
      </c>
      <c r="E20" s="16" t="n"/>
      <c r="F20" s="14" t="n"/>
      <c r="G20" s="14">
        <f>IF(F20="","",F20-N(C20))</f>
        <v/>
      </c>
    </row>
    <row r="21">
      <c r="A21" s="11" t="inlineStr">
        <is>
          <t>Launch</t>
        </is>
      </c>
      <c r="B21" s="11" t="inlineStr">
        <is>
          <t>Versandmaterial</t>
        </is>
      </c>
      <c r="C21" s="15" t="n">
        <v>80</v>
      </c>
      <c r="D21" s="11" t="inlineStr">
        <is>
          <t>Mär 27</t>
        </is>
      </c>
      <c r="E21" s="16" t="n"/>
      <c r="F21" s="14" t="n"/>
      <c r="G21" s="14">
        <f>IF(F21="","",F21-N(C21))</f>
        <v/>
      </c>
    </row>
    <row r="22">
      <c r="A22" s="11" t="inlineStr">
        <is>
          <t>Launch</t>
        </is>
      </c>
      <c r="B22" s="11" t="inlineStr">
        <is>
          <t>Werbung, 2 Kampagnen à 150 €</t>
        </is>
      </c>
      <c r="C22" s="15" t="n">
        <v>300</v>
      </c>
      <c r="D22" s="11" t="inlineStr">
        <is>
          <t>Mär–Apr 27</t>
        </is>
      </c>
      <c r="E22" s="16" t="n"/>
      <c r="F22" s="14" t="n"/>
      <c r="G22" s="14">
        <f>IF(F22="","",F22-N(C22))</f>
        <v/>
      </c>
    </row>
    <row r="23">
      <c r="A23" s="11" t="inlineStr">
        <is>
          <t>Launch</t>
        </is>
      </c>
      <c r="B23" s="3" t="inlineStr">
        <is>
          <t>Puffer (Aseprite, Rechtstexte, Kleinkram)</t>
        </is>
      </c>
      <c r="C23" s="15" t="n">
        <v>100</v>
      </c>
      <c r="D23" s="11" t="inlineStr">
        <is>
          <t>—</t>
        </is>
      </c>
      <c r="E23" s="16" t="n"/>
      <c r="F23" s="14" t="n"/>
      <c r="G23" s="14">
        <f>IF(F23="","",F23-N(C23))</f>
        <v/>
      </c>
    </row>
    <row r="24">
      <c r="A24" s="17" t="inlineStr">
        <is>
          <t>Ungeplant</t>
        </is>
      </c>
      <c r="B24" s="3" t="inlineStr">
        <is>
          <t>Einfuhrumsatzsteuer (nur Türkei + Kleinunternehmer, Schätzung)</t>
        </is>
      </c>
      <c r="C24" s="15" t="n">
        <v>1150</v>
      </c>
      <c r="D24" s="11" t="inlineStr">
        <is>
          <t>bei Einfuhr ~25.–30.03.</t>
        </is>
      </c>
      <c r="E24" s="16" t="n"/>
      <c r="F24" s="14" t="n"/>
      <c r="G24" s="14">
        <f>IF(F24="","",F24-N(C24))</f>
        <v/>
      </c>
    </row>
    <row r="25">
      <c r="A25" s="17" t="inlineStr">
        <is>
          <t>Ungeplant</t>
        </is>
      </c>
      <c r="B25" s="11" t="inlineStr">
        <is>
          <t>Steuerberater</t>
        </is>
      </c>
      <c r="C25" s="14" t="n"/>
      <c r="D25" s="11" t="inlineStr"/>
      <c r="E25" s="16" t="n"/>
      <c r="F25" s="14" t="n"/>
      <c r="G25" s="14">
        <f>IF(F25="","",F25-N(C25))</f>
        <v/>
      </c>
    </row>
    <row r="26">
      <c r="A26" s="17" t="inlineStr">
        <is>
          <t>Ungeplant</t>
        </is>
      </c>
      <c r="B26" s="11" t="inlineStr">
        <is>
          <t>Rechtstexte-Service über 80 €</t>
        </is>
      </c>
      <c r="C26" s="14" t="n"/>
      <c r="D26" s="11" t="inlineStr"/>
      <c r="E26" s="16" t="n"/>
      <c r="F26" s="14" t="n"/>
      <c r="G26" s="14">
        <f>IF(F26="","",F26-N(C26))</f>
        <v/>
      </c>
    </row>
    <row r="27">
      <c r="A27" s="17" t="inlineStr">
        <is>
          <t>Ungeplant</t>
        </is>
      </c>
      <c r="B27" s="11" t="inlineStr">
        <is>
          <t>Verpackungslizenz (LUCID / System)</t>
        </is>
      </c>
      <c r="C27" s="14" t="n"/>
      <c r="D27" s="11" t="inlineStr"/>
      <c r="E27" s="16" t="n"/>
      <c r="F27" s="14" t="n"/>
      <c r="G27" s="14">
        <f>IF(F27="","",F27-N(C27))</f>
        <v/>
      </c>
    </row>
    <row r="28">
      <c r="A28" s="17" t="inlineStr">
        <is>
          <t>Ungeplant</t>
        </is>
      </c>
      <c r="B28" s="11" t="inlineStr">
        <is>
          <t>Helferlohn (Packen)</t>
        </is>
      </c>
      <c r="C28" s="14" t="n"/>
      <c r="D28" s="11" t="inlineStr"/>
      <c r="E28" s="16" t="n"/>
      <c r="F28" s="14" t="n"/>
      <c r="G28" s="14">
        <f>IF(F28="","",F28-N(C28))</f>
        <v/>
      </c>
    </row>
    <row r="29">
      <c r="A29" s="17" t="inlineStr">
        <is>
          <t>Ungeplant</t>
        </is>
      </c>
      <c r="B29" s="11" t="inlineStr">
        <is>
          <t>Abende (Getränke, Raum)</t>
        </is>
      </c>
      <c r="C29" s="14" t="n"/>
      <c r="D29" s="11" t="inlineStr"/>
      <c r="E29" s="16" t="n"/>
      <c r="F29" s="14" t="n"/>
      <c r="G29" s="14">
        <f>IF(F29="","",F29-N(C29))</f>
        <v/>
      </c>
    </row>
    <row r="30">
      <c r="A30" s="17" t="inlineStr">
        <is>
          <t>Ungeplant</t>
        </is>
      </c>
      <c r="B30" s="11" t="inlineStr">
        <is>
          <t>EUSt + Kurier auf Proto und PP</t>
        </is>
      </c>
      <c r="C30" s="14" t="n"/>
      <c r="D30" s="11" t="inlineStr"/>
      <c r="E30" s="16" t="n"/>
      <c r="F30" s="14" t="n"/>
      <c r="G30" s="14">
        <f>IF(F30="","",F30-N(C30))</f>
        <v/>
      </c>
    </row>
    <row r="31">
      <c r="A31" s="17" t="inlineStr">
        <is>
          <t>Ungeplant</t>
        </is>
      </c>
      <c r="B31" s="11" t="inlineStr">
        <is>
          <t>Fotograf und Models</t>
        </is>
      </c>
      <c r="C31" s="14" t="n"/>
      <c r="D31" s="11" t="inlineStr"/>
      <c r="E31" s="16" t="n"/>
      <c r="F31" s="14" t="n"/>
      <c r="G31" s="14">
        <f>IF(F31="","",F31-N(C31))</f>
        <v/>
      </c>
    </row>
    <row r="32">
      <c r="A32" s="17" t="inlineStr">
        <is>
          <t>Ungeplant</t>
        </is>
      </c>
      <c r="B32" s="11" t="inlineStr">
        <is>
          <t>Shopify Email über Freikontingent</t>
        </is>
      </c>
      <c r="C32" s="14" t="n"/>
      <c r="D32" s="11" t="inlineStr"/>
      <c r="E32" s="16" t="n"/>
      <c r="F32" s="14" t="n"/>
      <c r="G32" s="14">
        <f>IF(F32="","",F32-N(C32))</f>
        <v/>
      </c>
    </row>
    <row r="33">
      <c r="A33" s="17" t="inlineStr">
        <is>
          <t>Ungeplant</t>
        </is>
      </c>
      <c r="B33" s="11" t="inlineStr">
        <is>
          <t>Produkthaftpflicht</t>
        </is>
      </c>
      <c r="C33" s="14" t="n"/>
      <c r="D33" s="11" t="inlineStr"/>
      <c r="E33" s="16" t="n"/>
      <c r="F33" s="14" t="n"/>
      <c r="G33" s="14">
        <f>IF(F33="","",F33-N(C33))</f>
        <v/>
      </c>
    </row>
    <row r="35">
      <c r="B35" s="18" t="inlineStr">
        <is>
          <t>Kapitalbedarf Plan</t>
        </is>
      </c>
      <c r="C35" s="19">
        <f>SUM(C4:C23)</f>
        <v/>
      </c>
    </row>
    <row r="36">
      <c r="B36" s="18" t="inlineStr">
        <is>
          <t>Ungeplant (Ist, sonst Schätzung)</t>
        </is>
      </c>
      <c r="C36" s="19">
        <f>IF(F24&lt;&gt;"",F24,N(C24))+IF(F25&lt;&gt;"",F25,N(C25))+IF(F26&lt;&gt;"",F26,N(C26))+IF(F27&lt;&gt;"",F27,N(C27))+IF(F28&lt;&gt;"",F28,N(C28))+IF(F29&lt;&gt;"",F29,N(C29))+IF(F30&lt;&gt;"",F30,N(C30))+IF(F31&lt;&gt;"",F31,N(C31))+IF(F32&lt;&gt;"",F32,N(C32))+IF(F33&lt;&gt;"",F33,N(C33))</f>
        <v/>
      </c>
    </row>
    <row r="37">
      <c r="B37" s="18" t="inlineStr">
        <is>
          <t>Eigenbudget</t>
        </is>
      </c>
      <c r="C37" s="19" t="n">
        <v>4500</v>
      </c>
    </row>
    <row r="38">
      <c r="B38" s="18" t="inlineStr">
        <is>
          <t>Lücke (aus Vorbestellungen)</t>
        </is>
      </c>
      <c r="C38" s="19">
        <f>C35+C36-C37</f>
        <v/>
      </c>
    </row>
    <row r="39">
      <c r="B39" s="18" t="inlineStr">
        <is>
          <t>Zusätzliche Vorbestellungen wegen Ungeplantem (÷146 €)</t>
        </is>
      </c>
      <c r="C39" s="20">
        <f>ROUNDUP(C36/146,0)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34" customWidth="1" min="3" max="3"/>
    <col width="11" customWidth="1" min="4" max="4"/>
    <col width="14" customWidth="1" min="5" max="5"/>
    <col width="30" customWidth="1" min="6" max="6"/>
    <col width="40" customWidth="1" min="7" max="7"/>
  </cols>
  <sheetData>
    <row r="1">
      <c r="A1" s="6" t="inlineStr">
        <is>
          <t>Ausgaben · jede Zahlung</t>
        </is>
      </c>
    </row>
    <row r="2">
      <c r="A2" s="7" t="inlineStr">
        <is>
          <t>Eine Zeile pro Zahlung. Beleg: Dateiname oder Link (Ordner Novalife).</t>
        </is>
      </c>
    </row>
    <row r="3" ht="32" customHeight="1">
      <c r="A3" s="9" t="inlineStr">
        <is>
          <t>Datum</t>
        </is>
      </c>
      <c r="B3" s="9" t="inlineStr">
        <is>
          <t>Posten</t>
        </is>
      </c>
      <c r="C3" s="9" t="inlineStr">
        <is>
          <t>Budget-Zeile</t>
        </is>
      </c>
      <c r="D3" s="9" t="inlineStr">
        <is>
          <t>Betrag €</t>
        </is>
      </c>
      <c r="E3" s="9" t="inlineStr">
        <is>
          <t>Bezahlt mit</t>
        </is>
      </c>
      <c r="F3" s="9" t="inlineStr">
        <is>
          <t>Beleg</t>
        </is>
      </c>
      <c r="G3" s="9" t="inlineStr">
        <is>
          <t>Notiz</t>
        </is>
      </c>
    </row>
    <row r="4"/>
  </sheetData>
  <dataValidations count="1">
    <dataValidation sqref="E4:E400" showDropDown="0" showInputMessage="0" showErrorMessage="0" allowBlank="1" type="list">
      <formula1>"Konto,PayPal,Karte,bar"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C3827"/>
    <outlinePr summaryBelow="1" summaryRight="1"/>
    <pageSetUpPr/>
  </sheetPr>
  <dimension ref="A1: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60" customWidth="1" min="4" max="4"/>
    <col width="11" customWidth="1" min="5" max="5"/>
    <col width="40" customWidth="1" min="6" max="6"/>
    <col width="40" customWidth="1" min="7" max="7"/>
  </cols>
  <sheetData>
    <row r="1">
      <c r="A1" s="6" t="inlineStr">
        <is>
          <t>Gates · harte Prüfpunkte mit Datum</t>
        </is>
      </c>
    </row>
    <row r="2">
      <c r="A2" s="7" t="inlineStr">
        <is>
          <t>Aus der Strategie (7.2). Am Tag des Gates: Ergebnis wählen, Entscheidung in einem Satz, nichts schieben ohne Eintrag.</t>
        </is>
      </c>
    </row>
    <row r="3" ht="32" customHeight="1">
      <c r="A3" s="9" t="inlineStr">
        <is>
          <t>Datum</t>
        </is>
      </c>
      <c r="B3" s="9" t="inlineStr">
        <is>
          <t>Gate</t>
        </is>
      </c>
      <c r="C3" s="9" t="inlineStr">
        <is>
          <t>grün →</t>
        </is>
      </c>
      <c r="D3" s="9" t="inlineStr">
        <is>
          <t>sonst →</t>
        </is>
      </c>
      <c r="E3" s="9" t="inlineStr">
        <is>
          <t>Ergebnis</t>
        </is>
      </c>
      <c r="F3" s="9" t="inlineStr">
        <is>
          <t>Entscheidung</t>
        </is>
      </c>
      <c r="G3" s="9" t="inlineStr">
        <is>
          <t>Notiz</t>
        </is>
      </c>
    </row>
    <row r="4">
      <c r="A4" s="11" t="inlineStr">
        <is>
          <t>Fr 09.10., 12:00</t>
        </is>
      </c>
      <c r="B4" s="11" t="inlineStr">
        <is>
          <t>Freeze und Serp-Test</t>
        </is>
      </c>
      <c r="C4" s="11" t="inlineStr">
        <is>
          <t>Tech Pack bis So 11.10.</t>
        </is>
      </c>
      <c r="D4" s="3" t="inlineStr">
        <is>
          <t>Anfrage geht trotzdem Mo 12.10. mit v1.7 raus. Ohne UA/PL-Stimme: Farbvorbehalt B/B2 bis Sa 07.11.</t>
        </is>
      </c>
    </row>
    <row r="5">
      <c r="A5" s="11" t="inlineStr">
        <is>
          <t>So 18.10.</t>
        </is>
      </c>
      <c r="B5" s="3" t="inlineStr">
        <is>
          <t>Netz ≥ 30 Namen, ≥ 4 Fabrik-Antworten, Steuertermin</t>
        </is>
      </c>
      <c r="C5" s="11" t="inlineStr">
        <is>
          <t>weiter</t>
        </is>
      </c>
      <c r="D5" s="3" t="inlineStr">
        <is>
          <t>Netz aus Handy-Kontakten ergänzen; 2 Nachzügler-Fabriken; IHK-Gründungsberatung oder anderer Steuerberater bis Fr 23.10.</t>
        </is>
      </c>
    </row>
    <row r="6">
      <c r="A6" s="11" t="inlineStr">
        <is>
          <t>Mi 21.10.</t>
        </is>
      </c>
      <c r="B6" s="3" t="inlineStr">
        <is>
          <t>Belegtabelle v1.0 (nach dem MEK; Quelle, Region, Abbildung je Motiv)</t>
        </is>
      </c>
      <c r="C6" s="3" t="inlineStr">
        <is>
          <t>V005 heute; V011, V014, V015, V108–V112 nur mit Beleg</t>
        </is>
      </c>
      <c r="D6" s="3" t="inlineStr">
        <is>
          <t>V120 statt V005; Tabelle bis So 25.10.; Videos ohne Beleg in die Reserve</t>
        </is>
      </c>
    </row>
    <row r="7">
      <c r="A7" s="11" t="inlineStr">
        <is>
          <t>Fr 23.10.</t>
        </is>
      </c>
      <c r="B7" s="11" t="inlineStr">
        <is>
          <t>Steuer schriftlich</t>
        </is>
      </c>
      <c r="C7" s="11" t="inlineStr">
        <is>
          <t>Kapitalbedarf neu</t>
        </is>
      </c>
      <c r="D7" s="11" t="inlineStr">
        <is>
          <t>mit 1.150 € planen, Stufe 2 wird Pflicht</t>
        </is>
      </c>
    </row>
    <row r="8">
      <c r="A8" s="11" t="inlineStr">
        <is>
          <t>Mo 26.10.</t>
        </is>
      </c>
      <c r="B8" s="3" t="inlineStr">
        <is>
          <t>Fabrik mit Panel-Stickerei im Haus, Ampel grün/gelb</t>
        </is>
      </c>
      <c r="C8" s="3" t="inlineStr">
        <is>
          <t>Konditionen 27.10. (bei Türkei bis 12:00)</t>
        </is>
      </c>
      <c r="D8" s="3" t="inlineStr">
        <is>
          <t>Ampel rot: Gegenrechnung, Optionen V4b, kleiner Serp, 75 Stück</t>
        </is>
      </c>
    </row>
    <row r="9">
      <c r="A9" s="11" t="inlineStr">
        <is>
          <t>Fr 30.10.</t>
        </is>
      </c>
      <c r="B9" s="11" t="inlineStr">
        <is>
          <t>Bei Türkei: Proforma da</t>
        </is>
      </c>
      <c r="C9" s="11" t="inlineStr">
        <is>
          <t>Validierung zählt „50/50 schriftlich“</t>
        </is>
      </c>
      <c r="D9" s="3" t="inlineStr">
        <is>
          <t>anrufen; ohne Proforma gilt „50/50 schriftlich“ am 01.11. als offen</t>
        </is>
      </c>
    </row>
    <row r="10">
      <c r="A10" s="11" t="inlineStr">
        <is>
          <t>So 01.11.</t>
        </is>
      </c>
      <c r="B10" s="3" t="inlineStr">
        <is>
          <t>Validierung ≥ 150, ≥ 10 Zusagen (nur Spalte „Zusage“), 50/50 schriftlich, Markenkriterien</t>
        </is>
      </c>
      <c r="C10" s="11" t="inlineStr">
        <is>
          <t>Entwicklung zahlen</t>
        </is>
      </c>
      <c r="D10" s="3" t="inlineStr">
        <is>
          <t>gelb 50–149: zahlen, Content und Netz nachschärfen · rot &lt; 50: nicht zahlen, B-Zeitachse 1 (7.4), 6 neue Posts, bestes Video in 5 Varianten</t>
        </is>
      </c>
    </row>
    <row r="11">
      <c r="A11" s="11" t="inlineStr">
        <is>
          <t>Sa 07.11.</t>
        </is>
      </c>
      <c r="B11" s="3" t="inlineStr">
        <is>
          <t>Farbe B/B2, Namen, Sprache final, Bildregel „keine Seitenansicht links“, Liefergebiet</t>
        </is>
      </c>
      <c r="C11" s="11" t="inlineStr">
        <is>
          <t>Spec Rev. 14</t>
        </is>
      </c>
      <c r="D11" s="3" t="inlineStr">
        <is>
          <t>Ohne Daten gilt der Rat: graue Schneide, weiße Kante, Wortliste, EN-Hook mit DE-Zeile, Bildregel bleibt</t>
        </is>
      </c>
    </row>
    <row r="12">
      <c r="A12" s="11" t="inlineStr">
        <is>
          <t>So 08.11.</t>
        </is>
      </c>
      <c r="B12" s="11" t="inlineStr">
        <is>
          <t>Fabrik antwortet in ≤ 3 Werktagen</t>
        </is>
      </c>
      <c r="C12" s="11" t="inlineStr">
        <is>
          <t>weiter</t>
        </is>
      </c>
      <c r="D12" s="11" t="inlineStr">
        <is>
          <t>Call, Fabrik 2 warm anschreiben</t>
        </is>
      </c>
    </row>
    <row r="13">
      <c r="A13" s="11" t="inlineStr">
        <is>
          <t>Di 10.11.</t>
        </is>
      </c>
      <c r="B13" s="11" t="inlineStr">
        <is>
          <t>Stiche ≤ 33.000</t>
        </is>
      </c>
      <c r="C13" s="11" t="inlineStr">
        <is>
          <t>freigeben</t>
        </is>
      </c>
      <c r="D13" s="3" t="inlineStr">
        <is>
          <t>Gegenrechnung, Füllung statt echtem Kreuzstich</t>
        </is>
      </c>
    </row>
    <row r="14">
      <c r="A14" s="11" t="inlineStr">
        <is>
          <t>Di 17.11.</t>
        </is>
      </c>
      <c r="B14" s="11" t="inlineStr">
        <is>
          <t>Stickproben bestanden</t>
        </is>
      </c>
      <c r="C14" s="11" t="inlineStr">
        <is>
          <t>Proto</t>
        </is>
      </c>
      <c r="D14" s="3" t="inlineStr">
        <is>
          <t>kein Proto; benannten Fehler beheben (B-Zeitachse 1) oder Fabrik 2 (B-Zeitachse 2)</t>
        </is>
      </c>
    </row>
    <row r="15">
      <c r="A15" s="11" t="inlineStr">
        <is>
          <t>So 22.11.</t>
        </is>
      </c>
      <c r="B15" s="11" t="inlineStr">
        <is>
          <t>Proto-Versand schriftlich ≤ 30.11.</t>
        </is>
      </c>
      <c r="C15" s="11" t="inlineStr">
        <is>
          <t>weiter</t>
        </is>
      </c>
      <c r="D15" s="3" t="inlineStr">
        <is>
          <t>Call; bei Portugal Feiertage 01.12. und 08.12. einrechnen (ungeprüft)</t>
        </is>
      </c>
    </row>
    <row r="16">
      <c r="A16" s="11" t="inlineStr">
        <is>
          <t>So 29.11.</t>
        </is>
      </c>
      <c r="B16" s="3" t="inlineStr">
        <is>
          <t>Liste ≥ 170 · Payments verifiziert · Rechtstexte live</t>
        </is>
      </c>
      <c r="C16" s="3" t="inlineStr">
        <is>
          <t>„Platz in der ersten Stunde sichern“ (Option B)</t>
        </is>
      </c>
      <c r="D16" s="3" t="inlineStr">
        <is>
          <t>Liste &lt; 170: Option A mit 10 €, nur mit Recht und Shopify · Payments offen: Reservierung ohne Zahlung, Ticket beim Payments-Support · Rechtstexte offen: bis Fr 04.12.</t>
        </is>
      </c>
    </row>
    <row r="17">
      <c r="A17" s="11" t="inlineStr">
        <is>
          <t>Sa 05.12.</t>
        </is>
      </c>
      <c r="B17" s="11" t="inlineStr">
        <is>
          <t>Proto und Fit</t>
        </is>
      </c>
      <c r="C17" s="11" t="inlineStr">
        <is>
          <t>PP Mo 07.12.</t>
        </is>
      </c>
      <c r="D17" s="3" t="inlineStr">
        <is>
          <t>zweites Proto, Öffnung nach B-Zeitachse 1 (Do 21.01.)</t>
        </is>
      </c>
    </row>
    <row r="18">
      <c r="A18" s="11" t="inlineStr">
        <is>
          <t>So 13.12.</t>
        </is>
      </c>
      <c r="B18" s="11" t="inlineStr">
        <is>
          <t>Zusagen ≥ 18 · Reservierungen ≥ 15</t>
        </is>
      </c>
      <c r="C18" s="11" t="inlineStr">
        <is>
          <t>weiter</t>
        </is>
      </c>
      <c r="D18" s="3" t="inlineStr">
        <is>
          <t>bis 20.12. jeden Tag 3 Termine · DM an jeden aus dem Netz</t>
        </is>
      </c>
    </row>
    <row r="19">
      <c r="A19" s="11" t="inlineStr">
        <is>
          <t>So 20.12.</t>
        </is>
      </c>
      <c r="B19" s="3" t="inlineStr">
        <is>
          <t>Zusagen ≥ 15, Auszahlung geklärt, Stufe 2 entschieden, Patch bestellt</t>
        </is>
      </c>
      <c r="C19" s="11" t="inlineStr">
        <is>
          <t>Vorbestellung wie geplant</t>
        </is>
      </c>
      <c r="D19" s="3" t="inlineStr">
        <is>
          <t>&lt; 10 Zusagen: Ausgaben-Stopp, Proto-Runde verlängern · Auszahlung unklar: kein Start · Patch offen: Bestellung Mo 21.12., Fabrik über neue Patch-Frist Fr 29.01. informieren</t>
        </is>
      </c>
    </row>
    <row r="20">
      <c r="A20" s="11" t="inlineStr">
        <is>
          <t>Di 05.01.</t>
        </is>
      </c>
      <c r="B20" s="11" t="inlineStr">
        <is>
          <t>PP freigegeben</t>
        </is>
      </c>
      <c r="C20" s="11" t="inlineStr">
        <is>
          <t>Öffnung 14.01.</t>
        </is>
      </c>
      <c r="D20" s="3" t="inlineStr">
        <is>
          <t>Öffnung höchstens Do 21.01. (B-Zeitachse 1)</t>
        </is>
      </c>
    </row>
    <row r="21">
      <c r="A21" s="11" t="inlineStr">
        <is>
          <t>So 10.01.</t>
        </is>
      </c>
      <c r="B21" s="11" t="inlineStr">
        <is>
          <t>Zusagen ≥ 25</t>
        </is>
      </c>
      <c r="C21" s="11" t="inlineStr">
        <is>
          <t>weiter</t>
        </is>
      </c>
      <c r="D21" s="3" t="inlineStr">
        <is>
          <t>alle „Vielleicht“ persönlich zum Mess-Abend 1</t>
        </is>
      </c>
    </row>
    <row r="22">
      <c r="A22" s="11" t="inlineStr">
        <is>
          <t>So 17.01.</t>
        </is>
      </c>
      <c r="B22" s="11" t="inlineStr">
        <is>
          <t>≥ 8 Vorbestellungen</t>
        </is>
      </c>
      <c r="C22" s="11" t="inlineStr">
        <is>
          <t>weiter</t>
        </is>
      </c>
      <c r="D22" s="3" t="inlineStr">
        <is>
          <t>zweite DM-Welle, Mess-Abend 2 doppelt bewerben</t>
        </is>
      </c>
    </row>
    <row r="23">
      <c r="A23" s="11" t="inlineStr">
        <is>
          <t>So 24.01.</t>
        </is>
      </c>
      <c r="B23" s="3" t="inlineStr">
        <is>
          <t>eigene Kaufquote (Vorbestellungen ÷ Liste 13.01.) · Mess-Abend 2b · Patches bei der Fabrik</t>
        </is>
      </c>
      <c r="C23" s="11" t="inlineStr">
        <is>
          <t>&gt; 1,5 %: Kurs halten</t>
        </is>
      </c>
      <c r="D23" s="3" t="inlineStr">
        <is>
          <t>1,0–1,5 %: Mess-Abend 13.03. als Hauptereignis · &lt; 1,0 %: Grind+-Ziel 3.390 wird Pflicht · Mess-Abend 2b am Mi 27.01. (Do 28.01. nur bei Auszahlung ≤ 2 Werktage), wenn am 13.01. &lt; 60 Reservierungen + Zusagen oder Vorbestellungen unter Soll · Patches fehlen: Call und neue Rechnung für den Produktionsstart</t>
        </is>
      </c>
    </row>
    <row r="24">
      <c r="A24" s="11" t="inlineStr">
        <is>
          <t>Mo 01.02.</t>
        </is>
      </c>
      <c r="B24" s="3" t="inlineStr">
        <is>
          <t>Schwelle 1 + Mengenformel (ausgezahlt am 31.01. + 6 × Wochenrate W19–W20)</t>
        </is>
      </c>
      <c r="C24" s="3" t="inlineStr">
        <is>
          <t>≥ 10 und Hochrechnung ≥ 32 ausgezahlt bis Di 16.03. → 100 Stück (bei Steuer zusätzlich 40 bis Mi 24.03. inkl. Stufe 2)</t>
        </is>
      </c>
      <c r="D24" s="3" t="inlineStr">
        <is>
          <t>Schwelle erfüllt, Hochrechnung darunter → 75 Stück, Stufe 2 nur Nr. 036–045 · &lt; 10 → 2 Wochen schieben (B-Zeitachse 2) · 7–9 → Notfall-Option Zipper-Vorbestellung</t>
        </is>
      </c>
    </row>
    <row r="25">
      <c r="A25" s="11" t="inlineStr">
        <is>
          <t>Fr 05.02.</t>
        </is>
      </c>
      <c r="B25" s="11" t="inlineStr">
        <is>
          <t>Spiel</t>
        </is>
      </c>
      <c r="C25" s="3" t="inlineStr">
        <is>
          <t>≥ 25 Vorbestellungen, kein Gate rot, Kasse grün</t>
        </is>
      </c>
      <c r="D25" s="11" t="inlineStr">
        <is>
          <t>streichen</t>
        </is>
      </c>
    </row>
    <row r="26">
      <c r="A26" s="11" t="inlineStr">
        <is>
          <t>So 07.02.</t>
        </is>
      </c>
      <c r="B26" s="11" t="inlineStr">
        <is>
          <t>PO bestätigt, Anzahlung bezahlt</t>
        </is>
      </c>
      <c r="C26" s="11" t="inlineStr">
        <is>
          <t>weiter</t>
        </is>
      </c>
      <c r="D26" s="11" t="inlineStr">
        <is>
          <t>Call, Produktionsstart neu rechnen</t>
        </is>
      </c>
    </row>
    <row r="27">
      <c r="A27" s="11" t="inlineStr">
        <is>
          <t>So 14.02.</t>
        </is>
      </c>
      <c r="B27" s="11" t="inlineStr">
        <is>
          <t>Stoff da (reserviert seit 06.01.)</t>
        </is>
      </c>
      <c r="C27" s="11" t="inlineStr">
        <is>
          <t>weiter</t>
        </is>
      </c>
      <c r="D27" s="11" t="inlineStr">
        <is>
          <t>sofort Call</t>
        </is>
      </c>
    </row>
    <row r="28">
      <c r="A28" s="11" t="inlineStr">
        <is>
          <t>So 21.02.</t>
        </is>
      </c>
      <c r="B28" s="11" t="inlineStr">
        <is>
          <t>Inline-Fotos 1</t>
        </is>
      </c>
      <c r="C28" s="11" t="inlineStr">
        <is>
          <t>weiter</t>
        </is>
      </c>
      <c r="D28" s="11" t="inlineStr">
        <is>
          <t>Call, Liefertermin bestätigen lassen</t>
        </is>
      </c>
    </row>
    <row r="29">
      <c r="A29" s="11" t="inlineStr">
        <is>
          <t>So 28.02.</t>
        </is>
      </c>
      <c r="B29" s="3" t="inlineStr">
        <is>
          <t>≥ 18 Vorbestellungen, Liste ≥ 850, Shopify-Email-Kontingent</t>
        </is>
      </c>
      <c r="C29" s="11" t="inlineStr">
        <is>
          <t>weiter</t>
        </is>
      </c>
      <c r="D29" s="3" t="inlineStr">
        <is>
          <t>Mail „Noch X von 35“, Brücke vorwarnen, Notfall-Option Zipper/Polo entscheiden · Kontingent zu klein: Preis ins Blatt „Kasse“ oder T−14 und T−7 nur an Abonnenten, die in 90 Tagen geöffnet oder geklickt haben</t>
        </is>
      </c>
    </row>
    <row r="30">
      <c r="A30" s="11" t="inlineStr">
        <is>
          <t>So 07.03.</t>
        </is>
      </c>
      <c r="B30" s="11" t="inlineStr">
        <is>
          <t>Inline-Fotos 2, Steuer-Rücklage</t>
        </is>
      </c>
      <c r="C30" s="11" t="inlineStr">
        <is>
          <t>weiter</t>
        </is>
      </c>
      <c r="D30" s="3" t="inlineStr">
        <is>
          <t>Call, Liefertermin schriftlich · ohne Rücklage Kampagne 1 streichen</t>
        </is>
      </c>
    </row>
    <row r="31">
      <c r="A31" s="11" t="inlineStr">
        <is>
          <t>So 14.03.</t>
        </is>
      </c>
      <c r="B31" s="3" t="inlineStr">
        <is>
          <t>≥ 29 (Alarm 25) · absehbar 32 ausgezahlt bis Di 16.03. (mit der Auszahlungsdauer vom 29.12.)</t>
        </is>
      </c>
      <c r="C31" s="11" t="inlineStr">
        <is>
          <t>Restzahlung 19.03.</t>
        </is>
      </c>
      <c r="D31" s="3" t="inlineStr">
        <is>
          <t>Notfall-Leiter ab Stufe 3, Backstop Mi 24.03. vorbereiten</t>
        </is>
      </c>
    </row>
    <row r="32">
      <c r="A32" s="11" t="inlineStr">
        <is>
          <t>Fr 19.03.</t>
        </is>
      </c>
      <c r="B32" s="3" t="inlineStr">
        <is>
          <t>≥ 32 ausgezahlt bis Di 16.03. und Endkontroll-Nachweis aus der PO vollständig</t>
        </is>
      </c>
      <c r="C32" s="11" t="inlineStr">
        <is>
          <t>zahlen</t>
        </is>
      </c>
      <c r="D32" s="3" t="inlineStr">
        <is>
          <t>nur Geld fehlt: Backstop Mi 24.03. · Endkontrolle durchgefallen: nicht zahlen, Fotos an die Fabrik</t>
        </is>
      </c>
    </row>
    <row r="33">
      <c r="A33" s="11" t="inlineStr">
        <is>
          <t>So 21.03., 20:00</t>
        </is>
      </c>
      <c r="B33" s="11" t="inlineStr">
        <is>
          <t>35 zu 149 € voll</t>
        </is>
      </c>
      <c r="C33" s="11" t="inlineStr">
        <is>
          <t>—</t>
        </is>
      </c>
      <c r="D33" s="3" t="inlineStr">
        <is>
          <t>149 € endet trotzdem; Stufe 2 läuft spätestens ab jetzt bis So 04.04. Preis nie verlängern</t>
        </is>
      </c>
    </row>
    <row r="34">
      <c r="A34" s="11" t="inlineStr">
        <is>
          <t>Mi 24.03.</t>
        </is>
      </c>
      <c r="B34" s="3" t="inlineStr">
        <is>
          <t>Tracking da · bei Steuer (DAP): 40 ausgezahlt (35 + Stufe 2)</t>
        </is>
      </c>
      <c r="C34" s="11" t="inlineStr">
        <is>
          <t>weiter</t>
        </is>
      </c>
      <c r="D34" s="3" t="inlineStr">
        <is>
          <t>tägliche Mail an die Fabrik, ab 31.03. Drop-Plan B · Steuer-Geld fehlt: Brücke abrufen (Stufe 7)</t>
        </is>
      </c>
    </row>
    <row r="35">
      <c r="A35" s="11" t="inlineStr">
        <is>
          <t>So 28.03.</t>
        </is>
      </c>
      <c r="B35" s="3" t="inlineStr">
        <is>
          <t>Ware mit Tracking, Stufe 2 ≥ 2, Kasse deckt die Steuer</t>
        </is>
      </c>
      <c r="C35" s="11" t="inlineStr">
        <is>
          <t>weiter</t>
        </is>
      </c>
      <c r="D35" s="3" t="inlineStr">
        <is>
          <t>Stufe 2 &lt; 2: Mail und Story „Stufe 2 bis 04.04.“ · Steuer nicht gedeckt: Brücke abrufen</t>
        </is>
      </c>
    </row>
    <row r="36">
      <c r="A36" s="11" t="inlineStr">
        <is>
          <t>So 04.04.</t>
        </is>
      </c>
      <c r="B36" s="11" t="inlineStr">
        <is>
          <t>Ware geprüft, Steuer bezahlt</t>
        </is>
      </c>
      <c r="C36" s="11" t="inlineStr">
        <is>
          <t>weiter</t>
        </is>
      </c>
      <c r="D36" s="11" t="inlineStr">
        <is>
          <t>Brücke</t>
        </is>
      </c>
    </row>
    <row r="37">
      <c r="A37" s="11" t="inlineStr">
        <is>
          <t>Do 15.04.</t>
        </is>
      </c>
      <c r="B37" s="11" t="inlineStr">
        <is>
          <t>Ware da (spätester Termin)</t>
        </is>
      </c>
      <c r="C37" s="11" t="inlineStr">
        <is>
          <t>Drop 22.04.</t>
        </is>
      </c>
      <c r="D37" s="3" t="inlineStr">
        <is>
          <t>Drop 29.04. (B-Zeitachse 2) oder „Versand ab Ankunft“, offen angekündigt [P 6] · Ware erst nach So 25.04.: Mail an alle Vorbesteller mit neuem Datum und dem Angebot voller Erstattung</t>
        </is>
      </c>
    </row>
    <row r="38">
      <c r="A38" s="11" t="inlineStr">
        <is>
          <t>Do 22.–So 25.04.</t>
        </is>
      </c>
      <c r="B38" s="3" t="inlineStr">
        <is>
          <t>Do 21:00 ≥ 15 · Fr 19:00 ≥ 26 (Schätzung aus Crowdfunding: rund 90 % der Listenkäufer kaufen in 48 h [M-Q27], für Mode nicht belegt) · So ≥ 29 netto</t>
        </is>
      </c>
      <c r="C38" s="11" t="inlineStr">
        <is>
          <t>—</t>
        </is>
      </c>
      <c r="D38" s="3" t="inlineStr">
        <is>
          <t>Do &lt; 15 um 21:15: DM an alle Zusagen und Handheber ohne Kauf, Fr 10:00 Mail an die Nicht-Öffner · Fr &lt; 26 um 19:00: Story mit den Restgrößen · So &lt; 29: Retargeting 72 h, Bundle Jeans + Polo, Zipper/Polo pushen, Rest zu 169 € im Shop, Konsignation erst danach</t>
        </is>
      </c>
    </row>
  </sheetData>
  <conditionalFormatting sqref="E4:E38">
    <cfRule type="expression" priority="1" dxfId="0">
      <formula>$E4="grün"</formula>
    </cfRule>
    <cfRule type="expression" priority="2" dxfId="1">
      <formula>$E4="gelb"</formula>
    </cfRule>
    <cfRule type="expression" priority="3" dxfId="2">
      <formula>$E4="rot"</formula>
    </cfRule>
  </conditionalFormatting>
  <dataValidations count="1">
    <dataValidation sqref="E4:E400" showDropDown="0" showInputMessage="0" showErrorMessage="0" allowBlank="1" type="list">
      <formula1>"grün,gelb,rot"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A2E4A"/>
    <outlinePr summaryBelow="1" summaryRight="1"/>
    <pageSetUpPr/>
  </sheetPr>
  <dimension ref="A1:F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8" customWidth="1" min="3" max="3"/>
    <col width="18" customWidth="1" min="4" max="4"/>
    <col width="22" customWidth="1" min="5" max="5"/>
    <col width="50" customWidth="1" min="6" max="6"/>
  </cols>
  <sheetData>
    <row r="1">
      <c r="A1" s="6" t="inlineStr">
        <is>
          <t>Warteliste · bestätigte Anmeldungen</t>
        </is>
      </c>
    </row>
    <row r="2">
      <c r="A2" s="7" t="inlineStr">
        <is>
          <t>Nur „E-Mail-Marketing: abonniert“ zählt. Quellen: utm_source = Kanal (instagram, tiktok, qr, email) · ref = Person/Abend/Creator (netz, papier, stick, mess1–mess3, mess2b, c-[name], p-[medium], h-[kürzel], code).</t>
        </is>
      </c>
    </row>
    <row r="3" ht="32" customHeight="1">
      <c r="A3" s="9" t="inlineStr">
        <is>
          <t>Datum</t>
        </is>
      </c>
      <c r="B3" s="9" t="inlineStr">
        <is>
          <t>Bestätigt gesamt</t>
        </is>
      </c>
      <c r="C3" s="9" t="inlineStr">
        <is>
          <t>Neu seit letzter Zeile</t>
        </is>
      </c>
      <c r="D3" s="9" t="inlineStr">
        <is>
          <t>Anmeldequote Seite %</t>
        </is>
      </c>
      <c r="E3" s="9" t="inlineStr">
        <is>
          <t>Top-Quelle</t>
        </is>
      </c>
      <c r="F3" s="9" t="inlineStr">
        <is>
          <t>Notiz</t>
        </is>
      </c>
    </row>
    <row r="4"/>
    <row r="5">
      <c r="C5">
        <f>IF(OR(B5="",B4=""),"",B5-B4)</f>
        <v/>
      </c>
    </row>
    <row r="6">
      <c r="C6">
        <f>IF(OR(B6="",B5=""),"",B6-B5)</f>
        <v/>
      </c>
    </row>
    <row r="7">
      <c r="C7">
        <f>IF(OR(B7="",B6=""),"",B7-B6)</f>
        <v/>
      </c>
    </row>
    <row r="8">
      <c r="C8">
        <f>IF(OR(B8="",B7=""),"",B8-B7)</f>
        <v/>
      </c>
    </row>
    <row r="9">
      <c r="C9">
        <f>IF(OR(B9="",B8=""),"",B9-B8)</f>
        <v/>
      </c>
    </row>
    <row r="10">
      <c r="C10">
        <f>IF(OR(B10="",B9=""),"",B10-B9)</f>
        <v/>
      </c>
    </row>
    <row r="11">
      <c r="C11">
        <f>IF(OR(B11="",B10=""),"",B11-B10)</f>
        <v/>
      </c>
    </row>
    <row r="12">
      <c r="C12">
        <f>IF(OR(B12="",B11=""),"",B12-B11)</f>
        <v/>
      </c>
    </row>
    <row r="13">
      <c r="C13">
        <f>IF(OR(B13="",B12=""),"",B13-B12)</f>
        <v/>
      </c>
    </row>
    <row r="14">
      <c r="C14">
        <f>IF(OR(B14="",B13=""),"",B14-B13)</f>
        <v/>
      </c>
    </row>
    <row r="15">
      <c r="C15">
        <f>IF(OR(B15="",B14=""),"",B15-B14)</f>
        <v/>
      </c>
    </row>
    <row r="16">
      <c r="C16">
        <f>IF(OR(B16="",B15=""),"",B16-B15)</f>
        <v/>
      </c>
    </row>
    <row r="17">
      <c r="C17">
        <f>IF(OR(B17="",B16=""),"",B17-B16)</f>
        <v/>
      </c>
    </row>
    <row r="18">
      <c r="C18">
        <f>IF(OR(B18="",B17=""),"",B18-B17)</f>
        <v/>
      </c>
    </row>
    <row r="19">
      <c r="C19">
        <f>IF(OR(B19="",B18=""),"",B19-B18)</f>
        <v/>
      </c>
    </row>
    <row r="20">
      <c r="C20">
        <f>IF(OR(B20="",B19=""),"",B20-B19)</f>
        <v/>
      </c>
    </row>
    <row r="21">
      <c r="C21">
        <f>IF(OR(B21="",B20=""),"",B21-B20)</f>
        <v/>
      </c>
    </row>
    <row r="22">
      <c r="C22">
        <f>IF(OR(B22="",B21=""),"",B22-B21)</f>
        <v/>
      </c>
    </row>
    <row r="23">
      <c r="C23">
        <f>IF(OR(B23="",B22=""),"",B23-B22)</f>
        <v/>
      </c>
    </row>
    <row r="24">
      <c r="C24">
        <f>IF(OR(B24="",B23=""),"",B24-B23)</f>
        <v/>
      </c>
    </row>
    <row r="25">
      <c r="C25">
        <f>IF(OR(B25="",B24=""),"",B25-B24)</f>
        <v/>
      </c>
    </row>
    <row r="26">
      <c r="C26">
        <f>IF(OR(B26="",B25=""),"",B26-B25)</f>
        <v/>
      </c>
    </row>
    <row r="27">
      <c r="C27">
        <f>IF(OR(B27="",B26=""),"",B27-B26)</f>
        <v/>
      </c>
    </row>
    <row r="28">
      <c r="C28">
        <f>IF(OR(B28="",B27=""),"",B28-B27)</f>
        <v/>
      </c>
    </row>
    <row r="29">
      <c r="C29">
        <f>IF(OR(B29="",B28=""),"",B29-B28)</f>
        <v/>
      </c>
    </row>
    <row r="30">
      <c r="C30">
        <f>IF(OR(B30="",B29=""),"",B30-B29)</f>
        <v/>
      </c>
    </row>
    <row r="31">
      <c r="C31">
        <f>IF(OR(B31="",B30=""),"",B31-B30)</f>
        <v/>
      </c>
    </row>
    <row r="32">
      <c r="C32">
        <f>IF(OR(B32="",B31=""),"",B32-B31)</f>
        <v/>
      </c>
    </row>
    <row r="33">
      <c r="C33">
        <f>IF(OR(B33="",B32=""),"",B33-B32)</f>
        <v/>
      </c>
    </row>
    <row r="34">
      <c r="C34">
        <f>IF(OR(B34="",B33=""),"",B34-B33)</f>
        <v/>
      </c>
    </row>
    <row r="35">
      <c r="C35">
        <f>IF(OR(B35="",B34=""),"",B35-B34)</f>
        <v/>
      </c>
    </row>
    <row r="36">
      <c r="C36">
        <f>IF(OR(B36="",B35=""),"",B36-B35)</f>
        <v/>
      </c>
    </row>
    <row r="37">
      <c r="C37">
        <f>IF(OR(B37="",B36=""),"",B37-B36)</f>
        <v/>
      </c>
    </row>
    <row r="38">
      <c r="C38">
        <f>IF(OR(B38="",B37=""),"",B38-B37)</f>
        <v/>
      </c>
    </row>
    <row r="39">
      <c r="C39">
        <f>IF(OR(B39="",B38=""),"",B39-B38)</f>
        <v/>
      </c>
    </row>
    <row r="40">
      <c r="C40">
        <f>IF(OR(B40="",B39=""),"",B40-B39)</f>
        <v/>
      </c>
    </row>
    <row r="41">
      <c r="C41">
        <f>IF(OR(B41="",B40=""),"",B41-B40)</f>
        <v/>
      </c>
    </row>
    <row r="42">
      <c r="C42">
        <f>IF(OR(B42="",B41=""),"",B42-B41)</f>
        <v/>
      </c>
    </row>
    <row r="43">
      <c r="C43">
        <f>IF(OR(B43="",B42=""),"",B43-B42)</f>
        <v/>
      </c>
    </row>
    <row r="44">
      <c r="C44">
        <f>IF(OR(B44="",B43=""),"",B44-B43)</f>
        <v/>
      </c>
    </row>
    <row r="45">
      <c r="C45">
        <f>IF(OR(B45="",B44=""),"",B45-B44)</f>
        <v/>
      </c>
    </row>
    <row r="46">
      <c r="C46">
        <f>IF(OR(B46="",B45=""),"",B46-B45)</f>
        <v/>
      </c>
    </row>
    <row r="47">
      <c r="C47">
        <f>IF(OR(B47="",B46=""),"",B47-B46)</f>
        <v/>
      </c>
    </row>
    <row r="48">
      <c r="C48">
        <f>IF(OR(B48="",B47=""),"",B48-B47)</f>
        <v/>
      </c>
    </row>
    <row r="49">
      <c r="C49">
        <f>IF(OR(B49="",B48=""),"",B49-B48)</f>
        <v/>
      </c>
    </row>
    <row r="50">
      <c r="C50">
        <f>IF(OR(B50="",B49=""),"",B50-B49)</f>
        <v/>
      </c>
    </row>
    <row r="51">
      <c r="C51">
        <f>IF(OR(B51="",B50=""),"",B51-B50)</f>
        <v/>
      </c>
    </row>
    <row r="52">
      <c r="C52">
        <f>IF(OR(B52="",B51=""),"",B52-B51)</f>
        <v/>
      </c>
    </row>
    <row r="53">
      <c r="C53">
        <f>IF(OR(B53="",B52=""),"",B53-B52)</f>
        <v/>
      </c>
    </row>
    <row r="54">
      <c r="C54">
        <f>IF(OR(B54="",B53=""),"",B54-B53)</f>
        <v/>
      </c>
    </row>
    <row r="55">
      <c r="C55">
        <f>IF(OR(B55="",B54=""),"",B55-B54)</f>
        <v/>
      </c>
    </row>
    <row r="56">
      <c r="C56">
        <f>IF(OR(B56="",B55=""),"",B56-B55)</f>
        <v/>
      </c>
    </row>
    <row r="57">
      <c r="C57">
        <f>IF(OR(B57="",B56=""),"",B57-B56)</f>
        <v/>
      </c>
    </row>
    <row r="58">
      <c r="C58">
        <f>IF(OR(B58="",B57=""),"",B58-B57)</f>
        <v/>
      </c>
    </row>
    <row r="59">
      <c r="C59">
        <f>IF(OR(B59="",B58=""),"",B59-B58)</f>
        <v/>
      </c>
    </row>
    <row r="60">
      <c r="C60">
        <f>IF(OR(B60="",B59=""),"",B60-B59)</f>
        <v/>
      </c>
    </row>
    <row r="61">
      <c r="C61">
        <f>IF(OR(B61="",B60=""),"",B61-B60)</f>
        <v/>
      </c>
    </row>
    <row r="62">
      <c r="C62">
        <f>IF(OR(B62="",B61=""),"",B62-B61)</f>
        <v/>
      </c>
    </row>
    <row r="63">
      <c r="C63">
        <f>IF(OR(B63="",B62=""),"",B63-B62)</f>
        <v/>
      </c>
    </row>
    <row r="64">
      <c r="C64">
        <f>IF(OR(B64="",B63=""),"",B64-B63)</f>
        <v/>
      </c>
    </row>
    <row r="65">
      <c r="C65">
        <f>IF(OR(B65="",B64=""),"",B65-B64)</f>
        <v/>
      </c>
    </row>
    <row r="66">
      <c r="C66">
        <f>IF(OR(B66="",B65=""),"",B66-B65)</f>
        <v/>
      </c>
    </row>
    <row r="67">
      <c r="C67">
        <f>IF(OR(B67="",B66=""),"",B67-B66)</f>
        <v/>
      </c>
    </row>
    <row r="68">
      <c r="C68">
        <f>IF(OR(B68="",B67=""),"",B68-B67)</f>
        <v/>
      </c>
    </row>
    <row r="69">
      <c r="C69">
        <f>IF(OR(B69="",B68=""),"",B69-B68)</f>
        <v/>
      </c>
    </row>
    <row r="70">
      <c r="C70">
        <f>IF(OR(B70="",B69=""),"",B70-B69)</f>
        <v/>
      </c>
    </row>
    <row r="71">
      <c r="C71">
        <f>IF(OR(B71="",B70=""),"",B71-B70)</f>
        <v/>
      </c>
    </row>
    <row r="72">
      <c r="C72">
        <f>IF(OR(B72="",B71=""),"",B72-B71)</f>
        <v/>
      </c>
    </row>
    <row r="73">
      <c r="C73">
        <f>IF(OR(B73="",B72=""),"",B73-B72)</f>
        <v/>
      </c>
    </row>
    <row r="74">
      <c r="C74">
        <f>IF(OR(B74="",B73=""),"",B74-B73)</f>
        <v/>
      </c>
    </row>
    <row r="75">
      <c r="C75">
        <f>IF(OR(B75="",B74=""),"",B75-B74)</f>
        <v/>
      </c>
    </row>
    <row r="76">
      <c r="C76">
        <f>IF(OR(B76="",B75=""),"",B76-B75)</f>
        <v/>
      </c>
    </row>
    <row r="77">
      <c r="C77">
        <f>IF(OR(B77="",B76=""),"",B77-B76)</f>
        <v/>
      </c>
    </row>
    <row r="78">
      <c r="C78">
        <f>IF(OR(B78="",B77=""),"",B78-B77)</f>
        <v/>
      </c>
    </row>
    <row r="79">
      <c r="C79">
        <f>IF(OR(B79="",B78=""),"",B79-B78)</f>
        <v/>
      </c>
    </row>
    <row r="80">
      <c r="C80">
        <f>IF(OR(B80="",B79=""),"",B80-B79)</f>
        <v/>
      </c>
    </row>
    <row r="81">
      <c r="C81">
        <f>IF(OR(B81="",B80=""),"",B81-B80)</f>
        <v/>
      </c>
    </row>
    <row r="82">
      <c r="C82">
        <f>IF(OR(B82="",B81=""),"",B82-B81)</f>
        <v/>
      </c>
    </row>
    <row r="83">
      <c r="C83">
        <f>IF(OR(B83="",B82=""),"",B83-B82)</f>
        <v/>
      </c>
    </row>
    <row r="84">
      <c r="C84">
        <f>IF(OR(B84="",B83=""),"",B84-B83)</f>
        <v/>
      </c>
    </row>
    <row r="85">
      <c r="C85">
        <f>IF(OR(B85="",B84=""),"",B85-B84)</f>
        <v/>
      </c>
    </row>
    <row r="86">
      <c r="C86">
        <f>IF(OR(B86="",B85=""),"",B86-B85)</f>
        <v/>
      </c>
    </row>
    <row r="87">
      <c r="C87">
        <f>IF(OR(B87="",B86=""),"",B87-B86)</f>
        <v/>
      </c>
    </row>
    <row r="88">
      <c r="C88">
        <f>IF(OR(B88="",B87=""),"",B88-B87)</f>
        <v/>
      </c>
    </row>
    <row r="89">
      <c r="C89">
        <f>IF(OR(B89="",B88=""),"",B89-B88)</f>
        <v/>
      </c>
    </row>
    <row r="90">
      <c r="C90">
        <f>IF(OR(B90="",B89=""),"",B90-B89)</f>
        <v/>
      </c>
    </row>
    <row r="91">
      <c r="C91">
        <f>IF(OR(B91="",B90=""),"",B91-B90)</f>
        <v/>
      </c>
    </row>
    <row r="92">
      <c r="C92">
        <f>IF(OR(B92="",B91=""),"",B92-B91)</f>
        <v/>
      </c>
    </row>
    <row r="93">
      <c r="C93">
        <f>IF(OR(B93="",B92=""),"",B93-B92)</f>
        <v/>
      </c>
    </row>
    <row r="94">
      <c r="C94">
        <f>IF(OR(B94="",B93=""),"",B94-B93)</f>
        <v/>
      </c>
    </row>
    <row r="95">
      <c r="C95">
        <f>IF(OR(B95="",B94=""),"",B95-B94)</f>
        <v/>
      </c>
    </row>
    <row r="96">
      <c r="C96">
        <f>IF(OR(B96="",B95=""),"",B96-B95)</f>
        <v/>
      </c>
    </row>
    <row r="97">
      <c r="C97">
        <f>IF(OR(B97="",B96=""),"",B97-B96)</f>
        <v/>
      </c>
    </row>
    <row r="98">
      <c r="C98">
        <f>IF(OR(B98="",B97=""),"",B98-B97)</f>
        <v/>
      </c>
    </row>
    <row r="99">
      <c r="C99">
        <f>IF(OR(B99="",B98=""),"",B99-B98)</f>
        <v/>
      </c>
    </row>
    <row r="100">
      <c r="C100">
        <f>IF(OR(B100="",B99=""),"",B100-B99)</f>
        <v/>
      </c>
    </row>
    <row r="101">
      <c r="C101">
        <f>IF(OR(B101="",B100=""),"",B101-B100)</f>
        <v/>
      </c>
    </row>
    <row r="102">
      <c r="C102">
        <f>IF(OR(B102="",B101=""),"",B102-B101)</f>
        <v/>
      </c>
    </row>
    <row r="103">
      <c r="C103">
        <f>IF(OR(B103="",B102=""),"",B103-B102)</f>
        <v/>
      </c>
    </row>
    <row r="104">
      <c r="C104">
        <f>IF(OR(B104="",B103=""),"",B104-B103)</f>
        <v/>
      </c>
    </row>
    <row r="105">
      <c r="C105">
        <f>IF(OR(B105="",B104=""),"",B105-B104)</f>
        <v/>
      </c>
    </row>
    <row r="106">
      <c r="C106">
        <f>IF(OR(B106="",B105=""),"",B106-B105)</f>
        <v/>
      </c>
    </row>
    <row r="107">
      <c r="C107">
        <f>IF(OR(B107="",B106=""),"",B107-B106)</f>
        <v/>
      </c>
    </row>
    <row r="108">
      <c r="C108">
        <f>IF(OR(B108="",B107=""),"",B108-B107)</f>
        <v/>
      </c>
    </row>
    <row r="109">
      <c r="C109">
        <f>IF(OR(B109="",B108=""),"",B109-B108)</f>
        <v/>
      </c>
    </row>
    <row r="110">
      <c r="C110">
        <f>IF(OR(B110="",B109=""),"",B110-B109)</f>
        <v/>
      </c>
    </row>
    <row r="111">
      <c r="C111">
        <f>IF(OR(B111="",B110=""),"",B111-B110)</f>
        <v/>
      </c>
    </row>
    <row r="112">
      <c r="C112">
        <f>IF(OR(B112="",B111=""),"",B112-B111)</f>
        <v/>
      </c>
    </row>
    <row r="113">
      <c r="C113">
        <f>IF(OR(B113="",B112=""),"",B113-B112)</f>
        <v/>
      </c>
    </row>
    <row r="114">
      <c r="C114">
        <f>IF(OR(B114="",B113=""),"",B114-B113)</f>
        <v/>
      </c>
    </row>
    <row r="115">
      <c r="C115">
        <f>IF(OR(B115="",B114=""),"",B115-B114)</f>
        <v/>
      </c>
    </row>
    <row r="116">
      <c r="C116">
        <f>IF(OR(B116="",B115=""),"",B116-B115)</f>
        <v/>
      </c>
    </row>
    <row r="117">
      <c r="C117">
        <f>IF(OR(B117="",B116=""),"",B117-B116)</f>
        <v/>
      </c>
    </row>
    <row r="118">
      <c r="C118">
        <f>IF(OR(B118="",B117=""),"",B118-B117)</f>
        <v/>
      </c>
    </row>
    <row r="119">
      <c r="C119">
        <f>IF(OR(B119="",B118=""),"",B119-B118)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B66"/>
    <outlinePr summaryBelow="1" summaryRight="1"/>
    <pageSetUpPr/>
  </sheetPr>
  <dimension ref="A1:Q30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1" customWidth="1" min="4" max="4"/>
    <col width="9" customWidth="1" min="5" max="5"/>
    <col width="10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40" customWidth="1" min="17" max="17"/>
  </cols>
  <sheetData>
    <row r="1">
      <c r="A1" s="6" t="inlineStr">
        <is>
          <t>Content · eine Zeile pro Video und Plattform</t>
        </is>
      </c>
    </row>
    <row r="2">
      <c r="A2" s="7" t="inlineStr">
        <is>
          <t>Sonntags 15 Minuten. Hook und Briefing stehen im Docket (Suche nach der ID). Views nach 48 h und nach 7 Tagen. Varianten-Regel: ≥ 2 × Median nach 48 h und Shares über Median → 5 Varianten in 14 Tagen.</t>
        </is>
      </c>
    </row>
    <row r="3" ht="32" customHeight="1">
      <c r="A3" s="9" t="inlineStr">
        <is>
          <t>ID</t>
        </is>
      </c>
      <c r="B3" s="9" t="inlineStr">
        <is>
          <t>Datum</t>
        </is>
      </c>
      <c r="C3" s="9" t="inlineStr">
        <is>
          <t>Plattform</t>
        </is>
      </c>
      <c r="D3" s="9" t="inlineStr">
        <is>
          <t>Slot</t>
        </is>
      </c>
      <c r="E3" s="9" t="inlineStr">
        <is>
          <t>Hook-Variante</t>
        </is>
      </c>
      <c r="F3" s="9" t="inlineStr">
        <is>
          <t>Views 48 h</t>
        </is>
      </c>
      <c r="G3" s="9" t="inlineStr">
        <is>
          <t>Views 7 T</t>
        </is>
      </c>
      <c r="H3" s="9" t="inlineStr">
        <is>
          <t>Ø Wiedergabe s</t>
        </is>
      </c>
      <c r="I3" s="9" t="inlineStr">
        <is>
          <t>% ganz</t>
        </is>
      </c>
      <c r="J3" s="9" t="inlineStr">
        <is>
          <t>Shares</t>
        </is>
      </c>
      <c r="K3" s="9" t="inlineStr">
        <is>
          <t>Saves</t>
        </is>
      </c>
      <c r="L3" s="9" t="inlineStr">
        <is>
          <t>Kommentare</t>
        </is>
      </c>
      <c r="M3" s="9" t="inlineStr">
        <is>
          <t>Profilaufrufe</t>
        </is>
      </c>
      <c r="N3" s="9" t="inlineStr">
        <is>
          <t>Neue Follower</t>
        </is>
      </c>
      <c r="O3" s="9" t="inlineStr">
        <is>
          <t>Link-Klicks</t>
        </is>
      </c>
      <c r="P3" s="9" t="inlineStr">
        <is>
          <t>Neue Anmeldungen</t>
        </is>
      </c>
      <c r="Q3" s="9" t="inlineStr">
        <is>
          <t>Notiz</t>
        </is>
      </c>
    </row>
    <row r="4">
      <c r="A4" s="11" t="inlineStr">
        <is>
          <t>V001</t>
        </is>
      </c>
      <c r="B4" s="10" t="n">
        <v>46307</v>
      </c>
      <c r="C4" s="11" t="inlineStr">
        <is>
          <t>TikTok</t>
        </is>
      </c>
      <c r="D4" s="11" t="inlineStr">
        <is>
          <t>BUILD</t>
        </is>
      </c>
    </row>
    <row r="5">
      <c r="A5" s="11" t="inlineStr">
        <is>
          <t>V001</t>
        </is>
      </c>
      <c r="B5" s="10" t="n">
        <v>46307</v>
      </c>
      <c r="C5" s="11" t="inlineStr">
        <is>
          <t>Instagram</t>
        </is>
      </c>
      <c r="D5" s="11" t="inlineStr">
        <is>
          <t>BUILD</t>
        </is>
      </c>
    </row>
    <row r="6">
      <c r="A6" s="11" t="inlineStr">
        <is>
          <t>V002</t>
        </is>
      </c>
      <c r="B6" s="10" t="n">
        <v>46309</v>
      </c>
      <c r="C6" s="11" t="inlineStr">
        <is>
          <t>TikTok</t>
        </is>
      </c>
      <c r="D6" s="11" t="inlineStr">
        <is>
          <t>ORIGIN</t>
        </is>
      </c>
    </row>
    <row r="7">
      <c r="A7" s="11" t="inlineStr">
        <is>
          <t>V002</t>
        </is>
      </c>
      <c r="B7" s="10" t="n">
        <v>46309</v>
      </c>
      <c r="C7" s="11" t="inlineStr">
        <is>
          <t>Instagram</t>
        </is>
      </c>
      <c r="D7" s="11" t="inlineStr">
        <is>
          <t>ORIGIN</t>
        </is>
      </c>
    </row>
    <row r="8">
      <c r="A8" s="11" t="inlineStr">
        <is>
          <t>V003</t>
        </is>
      </c>
      <c r="B8" s="10" t="n">
        <v>46311</v>
      </c>
      <c r="C8" s="11" t="inlineStr">
        <is>
          <t>TikTok</t>
        </is>
      </c>
      <c r="D8" s="11" t="inlineStr">
        <is>
          <t>REAL</t>
        </is>
      </c>
    </row>
    <row r="9">
      <c r="A9" s="11" t="inlineStr">
        <is>
          <t>V003</t>
        </is>
      </c>
      <c r="B9" s="10" t="n">
        <v>46311</v>
      </c>
      <c r="C9" s="11" t="inlineStr">
        <is>
          <t>Instagram</t>
        </is>
      </c>
      <c r="D9" s="11" t="inlineStr">
        <is>
          <t>REAL</t>
        </is>
      </c>
    </row>
    <row r="10">
      <c r="A10" s="11" t="inlineStr">
        <is>
          <t>V004</t>
        </is>
      </c>
      <c r="B10" s="10" t="n">
        <v>46314</v>
      </c>
      <c r="C10" s="11" t="inlineStr">
        <is>
          <t>TikTok</t>
        </is>
      </c>
      <c r="D10" s="11" t="inlineStr">
        <is>
          <t>BUILD</t>
        </is>
      </c>
    </row>
    <row r="11">
      <c r="A11" s="11" t="inlineStr">
        <is>
          <t>V004</t>
        </is>
      </c>
      <c r="B11" s="10" t="n">
        <v>46314</v>
      </c>
      <c r="C11" s="11" t="inlineStr">
        <is>
          <t>Instagram</t>
        </is>
      </c>
      <c r="D11" s="11" t="inlineStr">
        <is>
          <t>BUILD</t>
        </is>
      </c>
    </row>
    <row r="12">
      <c r="A12" s="11" t="inlineStr">
        <is>
          <t>V005</t>
        </is>
      </c>
      <c r="B12" s="10" t="n">
        <v>46316</v>
      </c>
      <c r="C12" s="11" t="inlineStr">
        <is>
          <t>TikTok</t>
        </is>
      </c>
      <c r="D12" s="11" t="inlineStr">
        <is>
          <t>ORIGIN</t>
        </is>
      </c>
    </row>
    <row r="13">
      <c r="A13" s="11" t="inlineStr">
        <is>
          <t>V005</t>
        </is>
      </c>
      <c r="B13" s="10" t="n">
        <v>46316</v>
      </c>
      <c r="C13" s="11" t="inlineStr">
        <is>
          <t>Instagram</t>
        </is>
      </c>
      <c r="D13" s="11" t="inlineStr">
        <is>
          <t>ORIGIN</t>
        </is>
      </c>
    </row>
    <row r="14">
      <c r="A14" s="11" t="inlineStr">
        <is>
          <t>V006</t>
        </is>
      </c>
      <c r="B14" s="10" t="n">
        <v>46318</v>
      </c>
      <c r="C14" s="11" t="inlineStr">
        <is>
          <t>TikTok</t>
        </is>
      </c>
      <c r="D14" s="11" t="inlineStr">
        <is>
          <t>DETAIL</t>
        </is>
      </c>
    </row>
    <row r="15">
      <c r="A15" s="11" t="inlineStr">
        <is>
          <t>V006</t>
        </is>
      </c>
      <c r="B15" s="10" t="n">
        <v>46318</v>
      </c>
      <c r="C15" s="11" t="inlineStr">
        <is>
          <t>Instagram</t>
        </is>
      </c>
      <c r="D15" s="11" t="inlineStr">
        <is>
          <t>DETAIL</t>
        </is>
      </c>
    </row>
    <row r="16">
      <c r="A16" s="11" t="inlineStr">
        <is>
          <t>V007</t>
        </is>
      </c>
      <c r="B16" s="10" t="n">
        <v>46321</v>
      </c>
      <c r="C16" s="11" t="inlineStr">
        <is>
          <t>TikTok</t>
        </is>
      </c>
      <c r="D16" s="11" t="inlineStr">
        <is>
          <t>BUILD</t>
        </is>
      </c>
    </row>
    <row r="17">
      <c r="A17" s="11" t="inlineStr">
        <is>
          <t>V007</t>
        </is>
      </c>
      <c r="B17" s="10" t="n">
        <v>46321</v>
      </c>
      <c r="C17" s="11" t="inlineStr">
        <is>
          <t>Instagram</t>
        </is>
      </c>
      <c r="D17" s="11" t="inlineStr">
        <is>
          <t>BUILD</t>
        </is>
      </c>
    </row>
    <row r="18">
      <c r="A18" s="11" t="inlineStr">
        <is>
          <t>V008</t>
        </is>
      </c>
      <c r="B18" s="10" t="n">
        <v>46323</v>
      </c>
      <c r="C18" s="11" t="inlineStr">
        <is>
          <t>TikTok</t>
        </is>
      </c>
      <c r="D18" s="11" t="inlineStr">
        <is>
          <t>ORIGIN</t>
        </is>
      </c>
    </row>
    <row r="19">
      <c r="A19" s="11" t="inlineStr">
        <is>
          <t>V008</t>
        </is>
      </c>
      <c r="B19" s="10" t="n">
        <v>46323</v>
      </c>
      <c r="C19" s="11" t="inlineStr">
        <is>
          <t>Instagram</t>
        </is>
      </c>
      <c r="D19" s="11" t="inlineStr">
        <is>
          <t>ORIGIN</t>
        </is>
      </c>
    </row>
    <row r="20">
      <c r="A20" s="11" t="inlineStr">
        <is>
          <t>V009</t>
        </is>
      </c>
      <c r="B20" s="10" t="n">
        <v>46325</v>
      </c>
      <c r="C20" s="11" t="inlineStr">
        <is>
          <t>TikTok</t>
        </is>
      </c>
      <c r="D20" s="11" t="inlineStr">
        <is>
          <t>REAL</t>
        </is>
      </c>
    </row>
    <row r="21">
      <c r="A21" s="11" t="inlineStr">
        <is>
          <t>V009</t>
        </is>
      </c>
      <c r="B21" s="10" t="n">
        <v>46325</v>
      </c>
      <c r="C21" s="11" t="inlineStr">
        <is>
          <t>Instagram</t>
        </is>
      </c>
      <c r="D21" s="11" t="inlineStr">
        <is>
          <t>REAL</t>
        </is>
      </c>
    </row>
    <row r="22">
      <c r="A22" s="11" t="inlineStr">
        <is>
          <t>V010</t>
        </is>
      </c>
      <c r="B22" s="10" t="n">
        <v>46328</v>
      </c>
      <c r="C22" s="11" t="inlineStr">
        <is>
          <t>TikTok</t>
        </is>
      </c>
      <c r="D22" s="11" t="inlineStr">
        <is>
          <t>BUILD</t>
        </is>
      </c>
    </row>
    <row r="23">
      <c r="A23" s="11" t="inlineStr">
        <is>
          <t>V010</t>
        </is>
      </c>
      <c r="B23" s="10" t="n">
        <v>46328</v>
      </c>
      <c r="C23" s="11" t="inlineStr">
        <is>
          <t>Instagram</t>
        </is>
      </c>
      <c r="D23" s="11" t="inlineStr">
        <is>
          <t>BUILD</t>
        </is>
      </c>
    </row>
    <row r="24">
      <c r="A24" s="11" t="inlineStr">
        <is>
          <t>V011</t>
        </is>
      </c>
      <c r="B24" s="10" t="n">
        <v>46330</v>
      </c>
      <c r="C24" s="11" t="inlineStr">
        <is>
          <t>TikTok</t>
        </is>
      </c>
      <c r="D24" s="11" t="inlineStr">
        <is>
          <t>ORIGIN</t>
        </is>
      </c>
    </row>
    <row r="25">
      <c r="A25" s="11" t="inlineStr">
        <is>
          <t>V011</t>
        </is>
      </c>
      <c r="B25" s="10" t="n">
        <v>46330</v>
      </c>
      <c r="C25" s="11" t="inlineStr">
        <is>
          <t>Instagram</t>
        </is>
      </c>
      <c r="D25" s="11" t="inlineStr">
        <is>
          <t>ORIGIN</t>
        </is>
      </c>
    </row>
    <row r="26">
      <c r="A26" s="11" t="inlineStr">
        <is>
          <t>V012</t>
        </is>
      </c>
      <c r="B26" s="10" t="n">
        <v>46332</v>
      </c>
      <c r="C26" s="11" t="inlineStr">
        <is>
          <t>TikTok</t>
        </is>
      </c>
      <c r="D26" s="11" t="inlineStr">
        <is>
          <t>REAL</t>
        </is>
      </c>
    </row>
    <row r="27">
      <c r="A27" s="11" t="inlineStr">
        <is>
          <t>V012</t>
        </is>
      </c>
      <c r="B27" s="10" t="n">
        <v>46332</v>
      </c>
      <c r="C27" s="11" t="inlineStr">
        <is>
          <t>Instagram</t>
        </is>
      </c>
      <c r="D27" s="11" t="inlineStr">
        <is>
          <t>REAL</t>
        </is>
      </c>
    </row>
    <row r="28">
      <c r="A28" s="11" t="inlineStr">
        <is>
          <t>V013</t>
        </is>
      </c>
      <c r="B28" s="10" t="n">
        <v>46335</v>
      </c>
      <c r="C28" s="11" t="inlineStr">
        <is>
          <t>TikTok</t>
        </is>
      </c>
      <c r="D28" s="11" t="inlineStr">
        <is>
          <t>BUILD</t>
        </is>
      </c>
    </row>
    <row r="29">
      <c r="A29" s="11" t="inlineStr">
        <is>
          <t>V013</t>
        </is>
      </c>
      <c r="B29" s="10" t="n">
        <v>46335</v>
      </c>
      <c r="C29" s="11" t="inlineStr">
        <is>
          <t>Instagram</t>
        </is>
      </c>
      <c r="D29" s="11" t="inlineStr">
        <is>
          <t>BUILD</t>
        </is>
      </c>
    </row>
    <row r="30">
      <c r="A30" s="11" t="inlineStr">
        <is>
          <t>V014</t>
        </is>
      </c>
      <c r="B30" s="10" t="n">
        <v>46337</v>
      </c>
      <c r="C30" s="11" t="inlineStr">
        <is>
          <t>TikTok</t>
        </is>
      </c>
      <c r="D30" s="11" t="inlineStr">
        <is>
          <t>ORIGIN</t>
        </is>
      </c>
    </row>
    <row r="31">
      <c r="A31" s="11" t="inlineStr">
        <is>
          <t>V014</t>
        </is>
      </c>
      <c r="B31" s="10" t="n">
        <v>46337</v>
      </c>
      <c r="C31" s="11" t="inlineStr">
        <is>
          <t>Instagram</t>
        </is>
      </c>
      <c r="D31" s="11" t="inlineStr">
        <is>
          <t>ORIGIN</t>
        </is>
      </c>
    </row>
    <row r="32">
      <c r="A32" s="11" t="inlineStr">
        <is>
          <t>V015</t>
        </is>
      </c>
      <c r="B32" s="10" t="n">
        <v>46339</v>
      </c>
      <c r="C32" s="11" t="inlineStr">
        <is>
          <t>TikTok</t>
        </is>
      </c>
      <c r="D32" s="11" t="inlineStr">
        <is>
          <t>DETAIL</t>
        </is>
      </c>
    </row>
    <row r="33">
      <c r="A33" s="11" t="inlineStr">
        <is>
          <t>V015</t>
        </is>
      </c>
      <c r="B33" s="10" t="n">
        <v>46339</v>
      </c>
      <c r="C33" s="11" t="inlineStr">
        <is>
          <t>Instagram</t>
        </is>
      </c>
      <c r="D33" s="11" t="inlineStr">
        <is>
          <t>DETAIL</t>
        </is>
      </c>
    </row>
    <row r="34">
      <c r="A34" s="11" t="inlineStr">
        <is>
          <t>V016</t>
        </is>
      </c>
      <c r="B34" s="10" t="n">
        <v>46342</v>
      </c>
      <c r="C34" s="11" t="inlineStr">
        <is>
          <t>TikTok</t>
        </is>
      </c>
      <c r="D34" s="11" t="inlineStr">
        <is>
          <t>BUILD</t>
        </is>
      </c>
    </row>
    <row r="35">
      <c r="A35" s="11" t="inlineStr">
        <is>
          <t>V016</t>
        </is>
      </c>
      <c r="B35" s="10" t="n">
        <v>46342</v>
      </c>
      <c r="C35" s="11" t="inlineStr">
        <is>
          <t>Instagram</t>
        </is>
      </c>
      <c r="D35" s="11" t="inlineStr">
        <is>
          <t>BUILD</t>
        </is>
      </c>
    </row>
    <row r="36">
      <c r="A36" s="11" t="inlineStr">
        <is>
          <t>V017</t>
        </is>
      </c>
      <c r="B36" s="10" t="n">
        <v>46344</v>
      </c>
      <c r="C36" s="11" t="inlineStr">
        <is>
          <t>TikTok</t>
        </is>
      </c>
      <c r="D36" s="11" t="inlineStr">
        <is>
          <t>ORIGIN</t>
        </is>
      </c>
    </row>
    <row r="37">
      <c r="A37" s="11" t="inlineStr">
        <is>
          <t>V017</t>
        </is>
      </c>
      <c r="B37" s="10" t="n">
        <v>46344</v>
      </c>
      <c r="C37" s="11" t="inlineStr">
        <is>
          <t>Instagram</t>
        </is>
      </c>
      <c r="D37" s="11" t="inlineStr">
        <is>
          <t>ORIGIN</t>
        </is>
      </c>
    </row>
    <row r="38">
      <c r="A38" s="11" t="inlineStr">
        <is>
          <t>V018</t>
        </is>
      </c>
      <c r="B38" s="10" t="n">
        <v>46346</v>
      </c>
      <c r="C38" s="11" t="inlineStr">
        <is>
          <t>TikTok</t>
        </is>
      </c>
      <c r="D38" s="11" t="inlineStr">
        <is>
          <t>REAL</t>
        </is>
      </c>
    </row>
    <row r="39">
      <c r="A39" s="11" t="inlineStr">
        <is>
          <t>V018</t>
        </is>
      </c>
      <c r="B39" s="10" t="n">
        <v>46346</v>
      </c>
      <c r="C39" s="11" t="inlineStr">
        <is>
          <t>Instagram</t>
        </is>
      </c>
      <c r="D39" s="11" t="inlineStr">
        <is>
          <t>REAL</t>
        </is>
      </c>
    </row>
    <row r="40">
      <c r="A40" s="11" t="inlineStr">
        <is>
          <t>V019</t>
        </is>
      </c>
      <c r="B40" s="10" t="n">
        <v>46349</v>
      </c>
      <c r="C40" s="11" t="inlineStr">
        <is>
          <t>TikTok</t>
        </is>
      </c>
      <c r="D40" s="11" t="inlineStr">
        <is>
          <t>BUILD</t>
        </is>
      </c>
    </row>
    <row r="41">
      <c r="A41" s="11" t="inlineStr">
        <is>
          <t>V019</t>
        </is>
      </c>
      <c r="B41" s="10" t="n">
        <v>46349</v>
      </c>
      <c r="C41" s="11" t="inlineStr">
        <is>
          <t>Instagram</t>
        </is>
      </c>
      <c r="D41" s="11" t="inlineStr">
        <is>
          <t>BUILD</t>
        </is>
      </c>
    </row>
    <row r="42">
      <c r="A42" s="11" t="inlineStr">
        <is>
          <t>V020</t>
        </is>
      </c>
      <c r="B42" s="10" t="n">
        <v>46351</v>
      </c>
      <c r="C42" s="11" t="inlineStr">
        <is>
          <t>TikTok</t>
        </is>
      </c>
      <c r="D42" s="11" t="inlineStr">
        <is>
          <t>ORIGIN</t>
        </is>
      </c>
    </row>
    <row r="43">
      <c r="A43" s="11" t="inlineStr">
        <is>
          <t>V020</t>
        </is>
      </c>
      <c r="B43" s="10" t="n">
        <v>46351</v>
      </c>
      <c r="C43" s="11" t="inlineStr">
        <is>
          <t>Instagram</t>
        </is>
      </c>
      <c r="D43" s="11" t="inlineStr">
        <is>
          <t>ORIGIN</t>
        </is>
      </c>
    </row>
    <row r="44">
      <c r="A44" s="11" t="inlineStr">
        <is>
          <t>V021</t>
        </is>
      </c>
      <c r="B44" s="10" t="n">
        <v>46353</v>
      </c>
      <c r="C44" s="11" t="inlineStr">
        <is>
          <t>TikTok</t>
        </is>
      </c>
      <c r="D44" s="11" t="inlineStr">
        <is>
          <t>REAL</t>
        </is>
      </c>
    </row>
    <row r="45">
      <c r="A45" s="11" t="inlineStr">
        <is>
          <t>V021</t>
        </is>
      </c>
      <c r="B45" s="10" t="n">
        <v>46353</v>
      </c>
      <c r="C45" s="11" t="inlineStr">
        <is>
          <t>Instagram</t>
        </is>
      </c>
      <c r="D45" s="11" t="inlineStr">
        <is>
          <t>REAL</t>
        </is>
      </c>
    </row>
    <row r="46">
      <c r="A46" s="11" t="inlineStr">
        <is>
          <t>V022</t>
        </is>
      </c>
      <c r="B46" s="10" t="n">
        <v>46356</v>
      </c>
      <c r="C46" s="11" t="inlineStr">
        <is>
          <t>TikTok</t>
        </is>
      </c>
      <c r="D46" s="11" t="inlineStr">
        <is>
          <t>BUILD</t>
        </is>
      </c>
    </row>
    <row r="47">
      <c r="A47" s="11" t="inlineStr">
        <is>
          <t>V022</t>
        </is>
      </c>
      <c r="B47" s="10" t="n">
        <v>46356</v>
      </c>
      <c r="C47" s="11" t="inlineStr">
        <is>
          <t>Instagram</t>
        </is>
      </c>
      <c r="D47" s="11" t="inlineStr">
        <is>
          <t>BUILD</t>
        </is>
      </c>
    </row>
    <row r="48">
      <c r="A48" s="11" t="inlineStr">
        <is>
          <t>V023</t>
        </is>
      </c>
      <c r="B48" s="10" t="n">
        <v>46357</v>
      </c>
      <c r="C48" s="11" t="inlineStr">
        <is>
          <t>TikTok</t>
        </is>
      </c>
      <c r="D48" s="11" t="inlineStr">
        <is>
          <t>ORIGIN</t>
        </is>
      </c>
    </row>
    <row r="49">
      <c r="A49" s="11" t="inlineStr">
        <is>
          <t>V023</t>
        </is>
      </c>
      <c r="B49" s="10" t="n">
        <v>46357</v>
      </c>
      <c r="C49" s="11" t="inlineStr">
        <is>
          <t>Instagram</t>
        </is>
      </c>
      <c r="D49" s="11" t="inlineStr">
        <is>
          <t>ORIGIN</t>
        </is>
      </c>
    </row>
    <row r="50">
      <c r="A50" s="11" t="inlineStr">
        <is>
          <t>V024</t>
        </is>
      </c>
      <c r="B50" s="10" t="n">
        <v>46358</v>
      </c>
      <c r="C50" s="11" t="inlineStr">
        <is>
          <t>TikTok</t>
        </is>
      </c>
      <c r="D50" s="11" t="inlineStr">
        <is>
          <t>REACH</t>
        </is>
      </c>
    </row>
    <row r="51">
      <c r="A51" s="11" t="inlineStr">
        <is>
          <t>V024</t>
        </is>
      </c>
      <c r="B51" s="10" t="n">
        <v>46358</v>
      </c>
      <c r="C51" s="11" t="inlineStr">
        <is>
          <t>Instagram</t>
        </is>
      </c>
      <c r="D51" s="11" t="inlineStr">
        <is>
          <t>REACH</t>
        </is>
      </c>
    </row>
    <row r="52">
      <c r="A52" s="11" t="inlineStr">
        <is>
          <t>V025</t>
        </is>
      </c>
      <c r="B52" s="10" t="n">
        <v>46359</v>
      </c>
      <c r="C52" s="11" t="inlineStr">
        <is>
          <t>TikTok</t>
        </is>
      </c>
      <c r="D52" s="11" t="inlineStr">
        <is>
          <t>BUILD</t>
        </is>
      </c>
    </row>
    <row r="53">
      <c r="A53" s="11" t="inlineStr">
        <is>
          <t>V025</t>
        </is>
      </c>
      <c r="B53" s="10" t="n">
        <v>46359</v>
      </c>
      <c r="C53" s="11" t="inlineStr">
        <is>
          <t>Instagram</t>
        </is>
      </c>
      <c r="D53" s="11" t="inlineStr">
        <is>
          <t>BUILD</t>
        </is>
      </c>
    </row>
    <row r="54">
      <c r="A54" s="11" t="inlineStr">
        <is>
          <t>V026</t>
        </is>
      </c>
      <c r="B54" s="10" t="n">
        <v>46360</v>
      </c>
      <c r="C54" s="11" t="inlineStr">
        <is>
          <t>TikTok</t>
        </is>
      </c>
      <c r="D54" s="11" t="inlineStr">
        <is>
          <t>DETAIL</t>
        </is>
      </c>
    </row>
    <row r="55">
      <c r="A55" s="11" t="inlineStr">
        <is>
          <t>V026</t>
        </is>
      </c>
      <c r="B55" s="10" t="n">
        <v>46360</v>
      </c>
      <c r="C55" s="11" t="inlineStr">
        <is>
          <t>Instagram</t>
        </is>
      </c>
      <c r="D55" s="11" t="inlineStr">
        <is>
          <t>DETAIL</t>
        </is>
      </c>
    </row>
    <row r="56">
      <c r="A56" s="11" t="inlineStr">
        <is>
          <t>V027</t>
        </is>
      </c>
      <c r="B56" s="10" t="n">
        <v>46361</v>
      </c>
      <c r="C56" s="11" t="inlineStr">
        <is>
          <t>TikTok</t>
        </is>
      </c>
      <c r="D56" s="11" t="inlineStr">
        <is>
          <t>ASK</t>
        </is>
      </c>
    </row>
    <row r="57">
      <c r="A57" s="11" t="inlineStr">
        <is>
          <t>V027</t>
        </is>
      </c>
      <c r="B57" s="10" t="n">
        <v>46361</v>
      </c>
      <c r="C57" s="11" t="inlineStr">
        <is>
          <t>Instagram</t>
        </is>
      </c>
      <c r="D57" s="11" t="inlineStr">
        <is>
          <t>ASK</t>
        </is>
      </c>
    </row>
    <row r="58">
      <c r="A58" s="11" t="inlineStr">
        <is>
          <t>V028</t>
        </is>
      </c>
      <c r="B58" s="10" t="n">
        <v>46363</v>
      </c>
      <c r="C58" s="11" t="inlineStr">
        <is>
          <t>TikTok</t>
        </is>
      </c>
      <c r="D58" s="11" t="inlineStr">
        <is>
          <t>BUILD</t>
        </is>
      </c>
    </row>
    <row r="59">
      <c r="A59" s="11" t="inlineStr">
        <is>
          <t>V028</t>
        </is>
      </c>
      <c r="B59" s="10" t="n">
        <v>46363</v>
      </c>
      <c r="C59" s="11" t="inlineStr">
        <is>
          <t>Instagram</t>
        </is>
      </c>
      <c r="D59" s="11" t="inlineStr">
        <is>
          <t>BUILD</t>
        </is>
      </c>
    </row>
    <row r="60">
      <c r="A60" s="11" t="inlineStr">
        <is>
          <t>V029</t>
        </is>
      </c>
      <c r="B60" s="10" t="n">
        <v>46364</v>
      </c>
      <c r="C60" s="11" t="inlineStr">
        <is>
          <t>TikTok</t>
        </is>
      </c>
      <c r="D60" s="11" t="inlineStr">
        <is>
          <t>ORIGIN</t>
        </is>
      </c>
    </row>
    <row r="61">
      <c r="A61" s="11" t="inlineStr">
        <is>
          <t>V029</t>
        </is>
      </c>
      <c r="B61" s="10" t="n">
        <v>46364</v>
      </c>
      <c r="C61" s="11" t="inlineStr">
        <is>
          <t>Instagram</t>
        </is>
      </c>
      <c r="D61" s="11" t="inlineStr">
        <is>
          <t>ORIGIN</t>
        </is>
      </c>
    </row>
    <row r="62">
      <c r="A62" s="11" t="inlineStr">
        <is>
          <t>V030</t>
        </is>
      </c>
      <c r="B62" s="10" t="n">
        <v>46365</v>
      </c>
      <c r="C62" s="11" t="inlineStr">
        <is>
          <t>TikTok</t>
        </is>
      </c>
      <c r="D62" s="11" t="inlineStr">
        <is>
          <t>REACH</t>
        </is>
      </c>
    </row>
    <row r="63">
      <c r="A63" s="11" t="inlineStr">
        <is>
          <t>V030</t>
        </is>
      </c>
      <c r="B63" s="10" t="n">
        <v>46365</v>
      </c>
      <c r="C63" s="11" t="inlineStr">
        <is>
          <t>Instagram</t>
        </is>
      </c>
      <c r="D63" s="11" t="inlineStr">
        <is>
          <t>REACH</t>
        </is>
      </c>
    </row>
    <row r="64">
      <c r="A64" s="11" t="inlineStr">
        <is>
          <t>V031</t>
        </is>
      </c>
      <c r="B64" s="10" t="n">
        <v>46367</v>
      </c>
      <c r="C64" s="11" t="inlineStr">
        <is>
          <t>TikTok</t>
        </is>
      </c>
      <c r="D64" s="11" t="inlineStr">
        <is>
          <t>DETAIL</t>
        </is>
      </c>
    </row>
    <row r="65">
      <c r="A65" s="11" t="inlineStr">
        <is>
          <t>V031</t>
        </is>
      </c>
      <c r="B65" s="10" t="n">
        <v>46367</v>
      </c>
      <c r="C65" s="11" t="inlineStr">
        <is>
          <t>Instagram</t>
        </is>
      </c>
      <c r="D65" s="11" t="inlineStr">
        <is>
          <t>DETAIL</t>
        </is>
      </c>
    </row>
    <row r="66">
      <c r="A66" s="11" t="inlineStr">
        <is>
          <t>V032</t>
        </is>
      </c>
      <c r="B66" s="10" t="n">
        <v>46368</v>
      </c>
      <c r="C66" s="11" t="inlineStr">
        <is>
          <t>TikTok</t>
        </is>
      </c>
      <c r="D66" s="11" t="inlineStr">
        <is>
          <t>ASK</t>
        </is>
      </c>
    </row>
    <row r="67">
      <c r="A67" s="11" t="inlineStr">
        <is>
          <t>V032</t>
        </is>
      </c>
      <c r="B67" s="10" t="n">
        <v>46368</v>
      </c>
      <c r="C67" s="11" t="inlineStr">
        <is>
          <t>Instagram</t>
        </is>
      </c>
      <c r="D67" s="11" t="inlineStr">
        <is>
          <t>ASK</t>
        </is>
      </c>
    </row>
    <row r="68">
      <c r="A68" s="11" t="inlineStr">
        <is>
          <t>V033</t>
        </is>
      </c>
      <c r="B68" s="10" t="n">
        <v>46370</v>
      </c>
      <c r="C68" s="11" t="inlineStr">
        <is>
          <t>TikTok</t>
        </is>
      </c>
      <c r="D68" s="11" t="inlineStr">
        <is>
          <t>BUILD</t>
        </is>
      </c>
    </row>
    <row r="69">
      <c r="A69" s="11" t="inlineStr">
        <is>
          <t>V033</t>
        </is>
      </c>
      <c r="B69" s="10" t="n">
        <v>46370</v>
      </c>
      <c r="C69" s="11" t="inlineStr">
        <is>
          <t>Instagram</t>
        </is>
      </c>
      <c r="D69" s="11" t="inlineStr">
        <is>
          <t>BUILD</t>
        </is>
      </c>
    </row>
    <row r="70">
      <c r="A70" s="11" t="inlineStr">
        <is>
          <t>V034</t>
        </is>
      </c>
      <c r="B70" s="10" t="n">
        <v>46371</v>
      </c>
      <c r="C70" s="11" t="inlineStr">
        <is>
          <t>TikTok</t>
        </is>
      </c>
      <c r="D70" s="11" t="inlineStr">
        <is>
          <t>ORIGIN</t>
        </is>
      </c>
    </row>
    <row r="71">
      <c r="A71" s="11" t="inlineStr">
        <is>
          <t>V034</t>
        </is>
      </c>
      <c r="B71" s="10" t="n">
        <v>46371</v>
      </c>
      <c r="C71" s="11" t="inlineStr">
        <is>
          <t>Instagram</t>
        </is>
      </c>
      <c r="D71" s="11" t="inlineStr">
        <is>
          <t>ORIGIN</t>
        </is>
      </c>
    </row>
    <row r="72">
      <c r="A72" s="11" t="inlineStr">
        <is>
          <t>V035</t>
        </is>
      </c>
      <c r="B72" s="10" t="n">
        <v>46372</v>
      </c>
      <c r="C72" s="11" t="inlineStr">
        <is>
          <t>TikTok</t>
        </is>
      </c>
      <c r="D72" s="11" t="inlineStr">
        <is>
          <t>REACH</t>
        </is>
      </c>
    </row>
    <row r="73">
      <c r="A73" s="11" t="inlineStr">
        <is>
          <t>V035</t>
        </is>
      </c>
      <c r="B73" s="10" t="n">
        <v>46372</v>
      </c>
      <c r="C73" s="11" t="inlineStr">
        <is>
          <t>Instagram</t>
        </is>
      </c>
      <c r="D73" s="11" t="inlineStr">
        <is>
          <t>REACH</t>
        </is>
      </c>
    </row>
    <row r="74">
      <c r="A74" s="11" t="inlineStr">
        <is>
          <t>V036</t>
        </is>
      </c>
      <c r="B74" s="10" t="n">
        <v>46374</v>
      </c>
      <c r="C74" s="11" t="inlineStr">
        <is>
          <t>TikTok</t>
        </is>
      </c>
      <c r="D74" s="11" t="inlineStr">
        <is>
          <t>DETAIL</t>
        </is>
      </c>
    </row>
    <row r="75">
      <c r="A75" s="11" t="inlineStr">
        <is>
          <t>V036</t>
        </is>
      </c>
      <c r="B75" s="10" t="n">
        <v>46374</v>
      </c>
      <c r="C75" s="11" t="inlineStr">
        <is>
          <t>Instagram</t>
        </is>
      </c>
      <c r="D75" s="11" t="inlineStr">
        <is>
          <t>DETAIL</t>
        </is>
      </c>
    </row>
    <row r="76">
      <c r="A76" s="11" t="inlineStr">
        <is>
          <t>V037</t>
        </is>
      </c>
      <c r="B76" s="10" t="n">
        <v>46375</v>
      </c>
      <c r="C76" s="11" t="inlineStr">
        <is>
          <t>TikTok</t>
        </is>
      </c>
      <c r="D76" s="11" t="inlineStr">
        <is>
          <t>ASK</t>
        </is>
      </c>
    </row>
    <row r="77">
      <c r="A77" s="11" t="inlineStr">
        <is>
          <t>V037</t>
        </is>
      </c>
      <c r="B77" s="10" t="n">
        <v>46375</v>
      </c>
      <c r="C77" s="11" t="inlineStr">
        <is>
          <t>Instagram</t>
        </is>
      </c>
      <c r="D77" s="11" t="inlineStr">
        <is>
          <t>ASK</t>
        </is>
      </c>
    </row>
    <row r="78">
      <c r="A78" s="11" t="inlineStr">
        <is>
          <t>V038</t>
        </is>
      </c>
      <c r="B78" s="10" t="n">
        <v>46377</v>
      </c>
      <c r="C78" s="11" t="inlineStr">
        <is>
          <t>TikTok</t>
        </is>
      </c>
      <c r="D78" s="11" t="inlineStr">
        <is>
          <t>BUILD</t>
        </is>
      </c>
    </row>
    <row r="79">
      <c r="A79" s="11" t="inlineStr">
        <is>
          <t>V038</t>
        </is>
      </c>
      <c r="B79" s="10" t="n">
        <v>46377</v>
      </c>
      <c r="C79" s="11" t="inlineStr">
        <is>
          <t>Instagram</t>
        </is>
      </c>
      <c r="D79" s="11" t="inlineStr">
        <is>
          <t>BUILD</t>
        </is>
      </c>
    </row>
    <row r="80">
      <c r="A80" s="11" t="inlineStr">
        <is>
          <t>V039</t>
        </is>
      </c>
      <c r="B80" s="10" t="n">
        <v>46379</v>
      </c>
      <c r="C80" s="11" t="inlineStr">
        <is>
          <t>TikTok</t>
        </is>
      </c>
      <c r="D80" s="11" t="inlineStr">
        <is>
          <t>REAL</t>
        </is>
      </c>
    </row>
    <row r="81">
      <c r="A81" s="11" t="inlineStr">
        <is>
          <t>V039</t>
        </is>
      </c>
      <c r="B81" s="10" t="n">
        <v>46379</v>
      </c>
      <c r="C81" s="11" t="inlineStr">
        <is>
          <t>Instagram</t>
        </is>
      </c>
      <c r="D81" s="11" t="inlineStr">
        <is>
          <t>REAL</t>
        </is>
      </c>
    </row>
    <row r="82">
      <c r="A82" s="11" t="inlineStr">
        <is>
          <t>V040</t>
        </is>
      </c>
      <c r="B82" s="10" t="n">
        <v>46382</v>
      </c>
      <c r="C82" s="11" t="inlineStr">
        <is>
          <t>TikTok</t>
        </is>
      </c>
      <c r="D82" s="11" t="inlineStr">
        <is>
          <t>ASK</t>
        </is>
      </c>
    </row>
    <row r="83">
      <c r="A83" s="11" t="inlineStr">
        <is>
          <t>V040</t>
        </is>
      </c>
      <c r="B83" s="10" t="n">
        <v>46382</v>
      </c>
      <c r="C83" s="11" t="inlineStr">
        <is>
          <t>Instagram</t>
        </is>
      </c>
      <c r="D83" s="11" t="inlineStr">
        <is>
          <t>ASK</t>
        </is>
      </c>
    </row>
    <row r="84">
      <c r="A84" s="11" t="inlineStr">
        <is>
          <t>V041</t>
        </is>
      </c>
      <c r="B84" s="10" t="n">
        <v>46384</v>
      </c>
      <c r="C84" s="11" t="inlineStr">
        <is>
          <t>TikTok</t>
        </is>
      </c>
      <c r="D84" s="11" t="inlineStr">
        <is>
          <t>BUILD</t>
        </is>
      </c>
    </row>
    <row r="85">
      <c r="A85" s="11" t="inlineStr">
        <is>
          <t>V041</t>
        </is>
      </c>
      <c r="B85" s="10" t="n">
        <v>46384</v>
      </c>
      <c r="C85" s="11" t="inlineStr">
        <is>
          <t>Instagram</t>
        </is>
      </c>
      <c r="D85" s="11" t="inlineStr">
        <is>
          <t>BUILD</t>
        </is>
      </c>
    </row>
    <row r="86">
      <c r="A86" s="11" t="inlineStr">
        <is>
          <t>V042</t>
        </is>
      </c>
      <c r="B86" s="10" t="n">
        <v>46386</v>
      </c>
      <c r="C86" s="11" t="inlineStr">
        <is>
          <t>TikTok</t>
        </is>
      </c>
      <c r="D86" s="11" t="inlineStr">
        <is>
          <t>REACH</t>
        </is>
      </c>
    </row>
    <row r="87">
      <c r="A87" s="11" t="inlineStr">
        <is>
          <t>V042</t>
        </is>
      </c>
      <c r="B87" s="10" t="n">
        <v>46386</v>
      </c>
      <c r="C87" s="11" t="inlineStr">
        <is>
          <t>Instagram</t>
        </is>
      </c>
      <c r="D87" s="11" t="inlineStr">
        <is>
          <t>REACH</t>
        </is>
      </c>
    </row>
    <row r="88">
      <c r="A88" s="11" t="inlineStr">
        <is>
          <t>V043</t>
        </is>
      </c>
      <c r="B88" s="10" t="n">
        <v>46389</v>
      </c>
      <c r="C88" s="11" t="inlineStr">
        <is>
          <t>TikTok</t>
        </is>
      </c>
      <c r="D88" s="11" t="inlineStr">
        <is>
          <t>ASK</t>
        </is>
      </c>
    </row>
    <row r="89">
      <c r="A89" s="11" t="inlineStr">
        <is>
          <t>V043</t>
        </is>
      </c>
      <c r="B89" s="10" t="n">
        <v>46389</v>
      </c>
      <c r="C89" s="11" t="inlineStr">
        <is>
          <t>Instagram</t>
        </is>
      </c>
      <c r="D89" s="11" t="inlineStr">
        <is>
          <t>ASK</t>
        </is>
      </c>
    </row>
    <row r="90">
      <c r="A90" s="11" t="inlineStr">
        <is>
          <t>V044</t>
        </is>
      </c>
      <c r="B90" s="10" t="n">
        <v>46391</v>
      </c>
      <c r="C90" s="11" t="inlineStr">
        <is>
          <t>TikTok</t>
        </is>
      </c>
      <c r="D90" s="11" t="inlineStr">
        <is>
          <t>BUILD</t>
        </is>
      </c>
    </row>
    <row r="91">
      <c r="A91" s="11" t="inlineStr">
        <is>
          <t>V044</t>
        </is>
      </c>
      <c r="B91" s="10" t="n">
        <v>46391</v>
      </c>
      <c r="C91" s="11" t="inlineStr">
        <is>
          <t>Instagram</t>
        </is>
      </c>
      <c r="D91" s="11" t="inlineStr">
        <is>
          <t>BUILD</t>
        </is>
      </c>
    </row>
    <row r="92">
      <c r="A92" s="11" t="inlineStr">
        <is>
          <t>V045</t>
        </is>
      </c>
      <c r="B92" s="10" t="n">
        <v>46392</v>
      </c>
      <c r="C92" s="11" t="inlineStr">
        <is>
          <t>TikTok</t>
        </is>
      </c>
      <c r="D92" s="11" t="inlineStr">
        <is>
          <t>ORIGIN</t>
        </is>
      </c>
    </row>
    <row r="93">
      <c r="A93" s="11" t="inlineStr">
        <is>
          <t>V045</t>
        </is>
      </c>
      <c r="B93" s="10" t="n">
        <v>46392</v>
      </c>
      <c r="C93" s="11" t="inlineStr">
        <is>
          <t>Instagram</t>
        </is>
      </c>
      <c r="D93" s="11" t="inlineStr">
        <is>
          <t>ORIGIN</t>
        </is>
      </c>
    </row>
    <row r="94">
      <c r="A94" s="11" t="inlineStr">
        <is>
          <t>V046</t>
        </is>
      </c>
      <c r="B94" s="10" t="n">
        <v>46393</v>
      </c>
      <c r="C94" s="11" t="inlineStr">
        <is>
          <t>TikTok</t>
        </is>
      </c>
      <c r="D94" s="11" t="inlineStr">
        <is>
          <t>REACH</t>
        </is>
      </c>
    </row>
    <row r="95">
      <c r="A95" s="11" t="inlineStr">
        <is>
          <t>V046</t>
        </is>
      </c>
      <c r="B95" s="10" t="n">
        <v>46393</v>
      </c>
      <c r="C95" s="11" t="inlineStr">
        <is>
          <t>Instagram</t>
        </is>
      </c>
      <c r="D95" s="11" t="inlineStr">
        <is>
          <t>REACH</t>
        </is>
      </c>
    </row>
    <row r="96">
      <c r="A96" s="11" t="inlineStr">
        <is>
          <t>V047</t>
        </is>
      </c>
      <c r="B96" s="10" t="n">
        <v>46395</v>
      </c>
      <c r="C96" s="11" t="inlineStr">
        <is>
          <t>TikTok</t>
        </is>
      </c>
      <c r="D96" s="11" t="inlineStr">
        <is>
          <t>DETAIL</t>
        </is>
      </c>
    </row>
    <row r="97">
      <c r="A97" s="11" t="inlineStr">
        <is>
          <t>V047</t>
        </is>
      </c>
      <c r="B97" s="10" t="n">
        <v>46395</v>
      </c>
      <c r="C97" s="11" t="inlineStr">
        <is>
          <t>Instagram</t>
        </is>
      </c>
      <c r="D97" s="11" t="inlineStr">
        <is>
          <t>DETAIL</t>
        </is>
      </c>
    </row>
    <row r="98">
      <c r="A98" s="11" t="inlineStr">
        <is>
          <t>V048</t>
        </is>
      </c>
      <c r="B98" s="10" t="n">
        <v>46396</v>
      </c>
      <c r="C98" s="11" t="inlineStr">
        <is>
          <t>TikTok</t>
        </is>
      </c>
      <c r="D98" s="11" t="inlineStr">
        <is>
          <t>ASK</t>
        </is>
      </c>
    </row>
    <row r="99">
      <c r="A99" s="11" t="inlineStr">
        <is>
          <t>V048</t>
        </is>
      </c>
      <c r="B99" s="10" t="n">
        <v>46396</v>
      </c>
      <c r="C99" s="11" t="inlineStr">
        <is>
          <t>Instagram</t>
        </is>
      </c>
      <c r="D99" s="11" t="inlineStr">
        <is>
          <t>ASK</t>
        </is>
      </c>
    </row>
    <row r="100">
      <c r="A100" s="11" t="inlineStr">
        <is>
          <t>V049</t>
        </is>
      </c>
      <c r="B100" s="10" t="n">
        <v>46398</v>
      </c>
      <c r="C100" s="11" t="inlineStr">
        <is>
          <t>TikTok</t>
        </is>
      </c>
      <c r="D100" s="11" t="inlineStr">
        <is>
          <t>BUILD</t>
        </is>
      </c>
    </row>
    <row r="101">
      <c r="A101" s="11" t="inlineStr">
        <is>
          <t>V049</t>
        </is>
      </c>
      <c r="B101" s="10" t="n">
        <v>46398</v>
      </c>
      <c r="C101" s="11" t="inlineStr">
        <is>
          <t>Instagram</t>
        </is>
      </c>
      <c r="D101" s="11" t="inlineStr">
        <is>
          <t>BUILD</t>
        </is>
      </c>
    </row>
    <row r="102">
      <c r="A102" s="11" t="inlineStr">
        <is>
          <t>V050</t>
        </is>
      </c>
      <c r="B102" s="10" t="n">
        <v>46399</v>
      </c>
      <c r="C102" s="11" t="inlineStr">
        <is>
          <t>TikTok</t>
        </is>
      </c>
      <c r="D102" s="11" t="inlineStr">
        <is>
          <t>ORIGIN</t>
        </is>
      </c>
    </row>
    <row r="103">
      <c r="A103" s="11" t="inlineStr">
        <is>
          <t>V050</t>
        </is>
      </c>
      <c r="B103" s="10" t="n">
        <v>46399</v>
      </c>
      <c r="C103" s="11" t="inlineStr">
        <is>
          <t>Instagram</t>
        </is>
      </c>
      <c r="D103" s="11" t="inlineStr">
        <is>
          <t>ORIGIN</t>
        </is>
      </c>
    </row>
    <row r="104">
      <c r="A104" s="11" t="inlineStr">
        <is>
          <t>V051</t>
        </is>
      </c>
      <c r="B104" s="10" t="n">
        <v>46400</v>
      </c>
      <c r="C104" s="11" t="inlineStr">
        <is>
          <t>TikTok</t>
        </is>
      </c>
      <c r="D104" s="11" t="inlineStr">
        <is>
          <t>REACH</t>
        </is>
      </c>
    </row>
    <row r="105">
      <c r="A105" s="11" t="inlineStr">
        <is>
          <t>V051</t>
        </is>
      </c>
      <c r="B105" s="10" t="n">
        <v>46400</v>
      </c>
      <c r="C105" s="11" t="inlineStr">
        <is>
          <t>Instagram</t>
        </is>
      </c>
      <c r="D105" s="11" t="inlineStr">
        <is>
          <t>REACH</t>
        </is>
      </c>
    </row>
    <row r="106">
      <c r="A106" s="11" t="inlineStr">
        <is>
          <t>V052</t>
        </is>
      </c>
      <c r="B106" s="10" t="n">
        <v>46401</v>
      </c>
      <c r="C106" s="11" t="inlineStr">
        <is>
          <t>TikTok</t>
        </is>
      </c>
      <c r="D106" s="11" t="inlineStr">
        <is>
          <t>BUILD</t>
        </is>
      </c>
    </row>
    <row r="107">
      <c r="A107" s="11" t="inlineStr">
        <is>
          <t>V052</t>
        </is>
      </c>
      <c r="B107" s="10" t="n">
        <v>46401</v>
      </c>
      <c r="C107" s="11" t="inlineStr">
        <is>
          <t>Instagram</t>
        </is>
      </c>
      <c r="D107" s="11" t="inlineStr">
        <is>
          <t>BUILD</t>
        </is>
      </c>
    </row>
    <row r="108">
      <c r="A108" s="11" t="inlineStr">
        <is>
          <t>V053</t>
        </is>
      </c>
      <c r="B108" s="10" t="n">
        <v>46402</v>
      </c>
      <c r="C108" s="11" t="inlineStr">
        <is>
          <t>TikTok</t>
        </is>
      </c>
      <c r="D108" s="11" t="inlineStr">
        <is>
          <t>DETAIL</t>
        </is>
      </c>
    </row>
    <row r="109">
      <c r="A109" s="11" t="inlineStr">
        <is>
          <t>V053</t>
        </is>
      </c>
      <c r="B109" s="10" t="n">
        <v>46402</v>
      </c>
      <c r="C109" s="11" t="inlineStr">
        <is>
          <t>Instagram</t>
        </is>
      </c>
      <c r="D109" s="11" t="inlineStr">
        <is>
          <t>DETAIL</t>
        </is>
      </c>
    </row>
    <row r="110">
      <c r="A110" s="11" t="inlineStr">
        <is>
          <t>V054</t>
        </is>
      </c>
      <c r="B110" s="10" t="n">
        <v>46403</v>
      </c>
      <c r="C110" s="11" t="inlineStr">
        <is>
          <t>TikTok</t>
        </is>
      </c>
      <c r="D110" s="11" t="inlineStr">
        <is>
          <t>ASK</t>
        </is>
      </c>
    </row>
    <row r="111">
      <c r="A111" s="11" t="inlineStr">
        <is>
          <t>V054</t>
        </is>
      </c>
      <c r="B111" s="10" t="n">
        <v>46403</v>
      </c>
      <c r="C111" s="11" t="inlineStr">
        <is>
          <t>Instagram</t>
        </is>
      </c>
      <c r="D111" s="11" t="inlineStr">
        <is>
          <t>ASK</t>
        </is>
      </c>
    </row>
    <row r="112">
      <c r="A112" s="11" t="inlineStr">
        <is>
          <t>V055</t>
        </is>
      </c>
      <c r="B112" s="10" t="n">
        <v>46405</v>
      </c>
      <c r="C112" s="11" t="inlineStr">
        <is>
          <t>TikTok</t>
        </is>
      </c>
      <c r="D112" s="11" t="inlineStr">
        <is>
          <t>BUILD</t>
        </is>
      </c>
    </row>
    <row r="113">
      <c r="A113" s="11" t="inlineStr">
        <is>
          <t>V055</t>
        </is>
      </c>
      <c r="B113" s="10" t="n">
        <v>46405</v>
      </c>
      <c r="C113" s="11" t="inlineStr">
        <is>
          <t>Instagram</t>
        </is>
      </c>
      <c r="D113" s="11" t="inlineStr">
        <is>
          <t>BUILD</t>
        </is>
      </c>
    </row>
    <row r="114">
      <c r="A114" s="11" t="inlineStr">
        <is>
          <t>V056</t>
        </is>
      </c>
      <c r="B114" s="10" t="n">
        <v>46406</v>
      </c>
      <c r="C114" s="11" t="inlineStr">
        <is>
          <t>TikTok</t>
        </is>
      </c>
      <c r="D114" s="11" t="inlineStr">
        <is>
          <t>ORIGIN</t>
        </is>
      </c>
    </row>
    <row r="115">
      <c r="A115" s="11" t="inlineStr">
        <is>
          <t>V056</t>
        </is>
      </c>
      <c r="B115" s="10" t="n">
        <v>46406</v>
      </c>
      <c r="C115" s="11" t="inlineStr">
        <is>
          <t>Instagram</t>
        </is>
      </c>
      <c r="D115" s="11" t="inlineStr">
        <is>
          <t>ORIGIN</t>
        </is>
      </c>
    </row>
    <row r="116">
      <c r="A116" s="11" t="inlineStr">
        <is>
          <t>V057</t>
        </is>
      </c>
      <c r="B116" s="10" t="n">
        <v>46407</v>
      </c>
      <c r="C116" s="11" t="inlineStr">
        <is>
          <t>TikTok</t>
        </is>
      </c>
      <c r="D116" s="11" t="inlineStr">
        <is>
          <t>REACH</t>
        </is>
      </c>
    </row>
    <row r="117">
      <c r="A117" s="11" t="inlineStr">
        <is>
          <t>V057</t>
        </is>
      </c>
      <c r="B117" s="10" t="n">
        <v>46407</v>
      </c>
      <c r="C117" s="11" t="inlineStr">
        <is>
          <t>Instagram</t>
        </is>
      </c>
      <c r="D117" s="11" t="inlineStr">
        <is>
          <t>REACH</t>
        </is>
      </c>
    </row>
    <row r="118">
      <c r="A118" s="11" t="inlineStr">
        <is>
          <t>V058</t>
        </is>
      </c>
      <c r="B118" s="10" t="n">
        <v>46409</v>
      </c>
      <c r="C118" s="11" t="inlineStr">
        <is>
          <t>TikTok</t>
        </is>
      </c>
      <c r="D118" s="11" t="inlineStr">
        <is>
          <t>DETAIL</t>
        </is>
      </c>
    </row>
    <row r="119">
      <c r="A119" s="11" t="inlineStr">
        <is>
          <t>V058</t>
        </is>
      </c>
      <c r="B119" s="10" t="n">
        <v>46409</v>
      </c>
      <c r="C119" s="11" t="inlineStr">
        <is>
          <t>Instagram</t>
        </is>
      </c>
      <c r="D119" s="11" t="inlineStr">
        <is>
          <t>DETAIL</t>
        </is>
      </c>
    </row>
    <row r="120">
      <c r="A120" s="11" t="inlineStr">
        <is>
          <t>V059</t>
        </is>
      </c>
      <c r="B120" s="10" t="n">
        <v>46410</v>
      </c>
      <c r="C120" s="11" t="inlineStr">
        <is>
          <t>TikTok</t>
        </is>
      </c>
      <c r="D120" s="11" t="inlineStr">
        <is>
          <t>ASK</t>
        </is>
      </c>
    </row>
    <row r="121">
      <c r="A121" s="11" t="inlineStr">
        <is>
          <t>V059</t>
        </is>
      </c>
      <c r="B121" s="10" t="n">
        <v>46410</v>
      </c>
      <c r="C121" s="11" t="inlineStr">
        <is>
          <t>Instagram</t>
        </is>
      </c>
      <c r="D121" s="11" t="inlineStr">
        <is>
          <t>ASK</t>
        </is>
      </c>
    </row>
    <row r="122">
      <c r="A122" s="11" t="inlineStr">
        <is>
          <t>V060</t>
        </is>
      </c>
      <c r="B122" s="10" t="n">
        <v>46412</v>
      </c>
      <c r="C122" s="11" t="inlineStr">
        <is>
          <t>TikTok</t>
        </is>
      </c>
      <c r="D122" s="11" t="inlineStr">
        <is>
          <t>BUILD</t>
        </is>
      </c>
    </row>
    <row r="123">
      <c r="A123" s="11" t="inlineStr">
        <is>
          <t>V060</t>
        </is>
      </c>
      <c r="B123" s="10" t="n">
        <v>46412</v>
      </c>
      <c r="C123" s="11" t="inlineStr">
        <is>
          <t>Instagram</t>
        </is>
      </c>
      <c r="D123" s="11" t="inlineStr">
        <is>
          <t>BUILD</t>
        </is>
      </c>
    </row>
    <row r="124">
      <c r="A124" s="11" t="inlineStr">
        <is>
          <t>V061</t>
        </is>
      </c>
      <c r="B124" s="10" t="n">
        <v>46413</v>
      </c>
      <c r="C124" s="11" t="inlineStr">
        <is>
          <t>TikTok</t>
        </is>
      </c>
      <c r="D124" s="11" t="inlineStr">
        <is>
          <t>ORIGIN</t>
        </is>
      </c>
    </row>
    <row r="125">
      <c r="A125" s="11" t="inlineStr">
        <is>
          <t>V061</t>
        </is>
      </c>
      <c r="B125" s="10" t="n">
        <v>46413</v>
      </c>
      <c r="C125" s="11" t="inlineStr">
        <is>
          <t>Instagram</t>
        </is>
      </c>
      <c r="D125" s="11" t="inlineStr">
        <is>
          <t>ORIGIN</t>
        </is>
      </c>
    </row>
    <row r="126">
      <c r="A126" s="11" t="inlineStr">
        <is>
          <t>V062</t>
        </is>
      </c>
      <c r="B126" s="10" t="n">
        <v>46414</v>
      </c>
      <c r="C126" s="11" t="inlineStr">
        <is>
          <t>TikTok</t>
        </is>
      </c>
      <c r="D126" s="11" t="inlineStr">
        <is>
          <t>REACH</t>
        </is>
      </c>
    </row>
    <row r="127">
      <c r="A127" s="11" t="inlineStr">
        <is>
          <t>V062</t>
        </is>
      </c>
      <c r="B127" s="10" t="n">
        <v>46414</v>
      </c>
      <c r="C127" s="11" t="inlineStr">
        <is>
          <t>Instagram</t>
        </is>
      </c>
      <c r="D127" s="11" t="inlineStr">
        <is>
          <t>REACH</t>
        </is>
      </c>
    </row>
    <row r="128">
      <c r="A128" s="11" t="inlineStr">
        <is>
          <t>V063</t>
        </is>
      </c>
      <c r="B128" s="10" t="n">
        <v>46416</v>
      </c>
      <c r="C128" s="11" t="inlineStr">
        <is>
          <t>TikTok</t>
        </is>
      </c>
      <c r="D128" s="11" t="inlineStr">
        <is>
          <t>DETAIL</t>
        </is>
      </c>
    </row>
    <row r="129">
      <c r="A129" s="11" t="inlineStr">
        <is>
          <t>V063</t>
        </is>
      </c>
      <c r="B129" s="10" t="n">
        <v>46416</v>
      </c>
      <c r="C129" s="11" t="inlineStr">
        <is>
          <t>Instagram</t>
        </is>
      </c>
      <c r="D129" s="11" t="inlineStr">
        <is>
          <t>DETAIL</t>
        </is>
      </c>
    </row>
    <row r="130">
      <c r="A130" s="11" t="inlineStr">
        <is>
          <t>V064</t>
        </is>
      </c>
      <c r="B130" s="10" t="n">
        <v>46417</v>
      </c>
      <c r="C130" s="11" t="inlineStr">
        <is>
          <t>TikTok</t>
        </is>
      </c>
      <c r="D130" s="11" t="inlineStr">
        <is>
          <t>ASK</t>
        </is>
      </c>
    </row>
    <row r="131">
      <c r="A131" s="11" t="inlineStr">
        <is>
          <t>V064</t>
        </is>
      </c>
      <c r="B131" s="10" t="n">
        <v>46417</v>
      </c>
      <c r="C131" s="11" t="inlineStr">
        <is>
          <t>Instagram</t>
        </is>
      </c>
      <c r="D131" s="11" t="inlineStr">
        <is>
          <t>ASK</t>
        </is>
      </c>
    </row>
    <row r="132">
      <c r="A132" s="11" t="inlineStr">
        <is>
          <t>V065</t>
        </is>
      </c>
      <c r="B132" s="10" t="n">
        <v>46419</v>
      </c>
      <c r="C132" s="11" t="inlineStr">
        <is>
          <t>TikTok</t>
        </is>
      </c>
      <c r="D132" s="11" t="inlineStr">
        <is>
          <t>BUILD</t>
        </is>
      </c>
    </row>
    <row r="133">
      <c r="A133" s="11" t="inlineStr">
        <is>
          <t>V065</t>
        </is>
      </c>
      <c r="B133" s="10" t="n">
        <v>46419</v>
      </c>
      <c r="C133" s="11" t="inlineStr">
        <is>
          <t>Instagram</t>
        </is>
      </c>
      <c r="D133" s="11" t="inlineStr">
        <is>
          <t>BUILD</t>
        </is>
      </c>
    </row>
    <row r="134">
      <c r="A134" s="11" t="inlineStr">
        <is>
          <t>V066</t>
        </is>
      </c>
      <c r="B134" s="10" t="n">
        <v>46421</v>
      </c>
      <c r="C134" s="11" t="inlineStr">
        <is>
          <t>TikTok</t>
        </is>
      </c>
      <c r="D134" s="11" t="inlineStr">
        <is>
          <t>REACH</t>
        </is>
      </c>
    </row>
    <row r="135">
      <c r="A135" s="11" t="inlineStr">
        <is>
          <t>V066</t>
        </is>
      </c>
      <c r="B135" s="10" t="n">
        <v>46421</v>
      </c>
      <c r="C135" s="11" t="inlineStr">
        <is>
          <t>Instagram</t>
        </is>
      </c>
      <c r="D135" s="11" t="inlineStr">
        <is>
          <t>REACH</t>
        </is>
      </c>
    </row>
    <row r="136">
      <c r="A136" s="11" t="inlineStr">
        <is>
          <t>V067</t>
        </is>
      </c>
      <c r="B136" s="10" t="n">
        <v>46423</v>
      </c>
      <c r="C136" s="11" t="inlineStr">
        <is>
          <t>TikTok</t>
        </is>
      </c>
      <c r="D136" s="11" t="inlineStr">
        <is>
          <t>REAL</t>
        </is>
      </c>
    </row>
    <row r="137">
      <c r="A137" s="11" t="inlineStr">
        <is>
          <t>V067</t>
        </is>
      </c>
      <c r="B137" s="10" t="n">
        <v>46423</v>
      </c>
      <c r="C137" s="11" t="inlineStr">
        <is>
          <t>Instagram</t>
        </is>
      </c>
      <c r="D137" s="11" t="inlineStr">
        <is>
          <t>REAL</t>
        </is>
      </c>
    </row>
    <row r="138">
      <c r="A138" s="11" t="inlineStr">
        <is>
          <t>V068</t>
        </is>
      </c>
      <c r="B138" s="10" t="n">
        <v>46426</v>
      </c>
      <c r="C138" s="11" t="inlineStr">
        <is>
          <t>TikTok</t>
        </is>
      </c>
      <c r="D138" s="11" t="inlineStr">
        <is>
          <t>BUILD</t>
        </is>
      </c>
    </row>
    <row r="139">
      <c r="A139" s="11" t="inlineStr">
        <is>
          <t>V068</t>
        </is>
      </c>
      <c r="B139" s="10" t="n">
        <v>46426</v>
      </c>
      <c r="C139" s="11" t="inlineStr">
        <is>
          <t>Instagram</t>
        </is>
      </c>
      <c r="D139" s="11" t="inlineStr">
        <is>
          <t>BUILD</t>
        </is>
      </c>
    </row>
    <row r="140">
      <c r="A140" s="11" t="inlineStr">
        <is>
          <t>V069</t>
        </is>
      </c>
      <c r="B140" s="10" t="n">
        <v>46427</v>
      </c>
      <c r="C140" s="11" t="inlineStr">
        <is>
          <t>TikTok</t>
        </is>
      </c>
      <c r="D140" s="11" t="inlineStr">
        <is>
          <t>ORIGIN</t>
        </is>
      </c>
    </row>
    <row r="141">
      <c r="A141" s="11" t="inlineStr">
        <is>
          <t>V069</t>
        </is>
      </c>
      <c r="B141" s="10" t="n">
        <v>46427</v>
      </c>
      <c r="C141" s="11" t="inlineStr">
        <is>
          <t>Instagram</t>
        </is>
      </c>
      <c r="D141" s="11" t="inlineStr">
        <is>
          <t>ORIGIN</t>
        </is>
      </c>
    </row>
    <row r="142">
      <c r="A142" s="11" t="inlineStr">
        <is>
          <t>V070</t>
        </is>
      </c>
      <c r="B142" s="10" t="n">
        <v>46428</v>
      </c>
      <c r="C142" s="11" t="inlineStr">
        <is>
          <t>TikTok</t>
        </is>
      </c>
      <c r="D142" s="11" t="inlineStr">
        <is>
          <t>REACH</t>
        </is>
      </c>
    </row>
    <row r="143">
      <c r="A143" s="11" t="inlineStr">
        <is>
          <t>V070</t>
        </is>
      </c>
      <c r="B143" s="10" t="n">
        <v>46428</v>
      </c>
      <c r="C143" s="11" t="inlineStr">
        <is>
          <t>Instagram</t>
        </is>
      </c>
      <c r="D143" s="11" t="inlineStr">
        <is>
          <t>REACH</t>
        </is>
      </c>
    </row>
    <row r="144">
      <c r="A144" s="11" t="inlineStr">
        <is>
          <t>V071</t>
        </is>
      </c>
      <c r="B144" s="10" t="n">
        <v>46430</v>
      </c>
      <c r="C144" s="11" t="inlineStr">
        <is>
          <t>TikTok</t>
        </is>
      </c>
      <c r="D144" s="11" t="inlineStr">
        <is>
          <t>DETAIL</t>
        </is>
      </c>
    </row>
    <row r="145">
      <c r="A145" s="11" t="inlineStr">
        <is>
          <t>V071</t>
        </is>
      </c>
      <c r="B145" s="10" t="n">
        <v>46430</v>
      </c>
      <c r="C145" s="11" t="inlineStr">
        <is>
          <t>Instagram</t>
        </is>
      </c>
      <c r="D145" s="11" t="inlineStr">
        <is>
          <t>DETAIL</t>
        </is>
      </c>
    </row>
    <row r="146">
      <c r="A146" s="11" t="inlineStr">
        <is>
          <t>V072</t>
        </is>
      </c>
      <c r="B146" s="10" t="n">
        <v>46431</v>
      </c>
      <c r="C146" s="11" t="inlineStr">
        <is>
          <t>TikTok</t>
        </is>
      </c>
      <c r="D146" s="11" t="inlineStr">
        <is>
          <t>ASK</t>
        </is>
      </c>
    </row>
    <row r="147">
      <c r="A147" s="11" t="inlineStr">
        <is>
          <t>V072</t>
        </is>
      </c>
      <c r="B147" s="10" t="n">
        <v>46431</v>
      </c>
      <c r="C147" s="11" t="inlineStr">
        <is>
          <t>Instagram</t>
        </is>
      </c>
      <c r="D147" s="11" t="inlineStr">
        <is>
          <t>ASK</t>
        </is>
      </c>
    </row>
    <row r="148">
      <c r="A148" s="11" t="inlineStr">
        <is>
          <t>V073</t>
        </is>
      </c>
      <c r="B148" s="10" t="n">
        <v>46433</v>
      </c>
      <c r="C148" s="11" t="inlineStr">
        <is>
          <t>TikTok</t>
        </is>
      </c>
      <c r="D148" s="11" t="inlineStr">
        <is>
          <t>BUILD</t>
        </is>
      </c>
    </row>
    <row r="149">
      <c r="A149" s="11" t="inlineStr">
        <is>
          <t>V073</t>
        </is>
      </c>
      <c r="B149" s="10" t="n">
        <v>46433</v>
      </c>
      <c r="C149" s="11" t="inlineStr">
        <is>
          <t>Instagram</t>
        </is>
      </c>
      <c r="D149" s="11" t="inlineStr">
        <is>
          <t>BUILD</t>
        </is>
      </c>
    </row>
    <row r="150">
      <c r="A150" s="11" t="inlineStr">
        <is>
          <t>V074</t>
        </is>
      </c>
      <c r="B150" s="10" t="n">
        <v>46434</v>
      </c>
      <c r="C150" s="11" t="inlineStr">
        <is>
          <t>TikTok</t>
        </is>
      </c>
      <c r="D150" s="11" t="inlineStr">
        <is>
          <t>ORIGIN</t>
        </is>
      </c>
    </row>
    <row r="151">
      <c r="A151" s="11" t="inlineStr">
        <is>
          <t>V074</t>
        </is>
      </c>
      <c r="B151" s="10" t="n">
        <v>46434</v>
      </c>
      <c r="C151" s="11" t="inlineStr">
        <is>
          <t>Instagram</t>
        </is>
      </c>
      <c r="D151" s="11" t="inlineStr">
        <is>
          <t>ORIGIN</t>
        </is>
      </c>
    </row>
    <row r="152">
      <c r="A152" s="11" t="inlineStr">
        <is>
          <t>V075</t>
        </is>
      </c>
      <c r="B152" s="10" t="n">
        <v>46435</v>
      </c>
      <c r="C152" s="11" t="inlineStr">
        <is>
          <t>TikTok</t>
        </is>
      </c>
      <c r="D152" s="11" t="inlineStr">
        <is>
          <t>REACH</t>
        </is>
      </c>
    </row>
    <row r="153">
      <c r="A153" s="11" t="inlineStr">
        <is>
          <t>V075</t>
        </is>
      </c>
      <c r="B153" s="10" t="n">
        <v>46435</v>
      </c>
      <c r="C153" s="11" t="inlineStr">
        <is>
          <t>Instagram</t>
        </is>
      </c>
      <c r="D153" s="11" t="inlineStr">
        <is>
          <t>REACH</t>
        </is>
      </c>
    </row>
    <row r="154">
      <c r="A154" s="11" t="inlineStr">
        <is>
          <t>V076</t>
        </is>
      </c>
      <c r="B154" s="10" t="n">
        <v>46437</v>
      </c>
      <c r="C154" s="11" t="inlineStr">
        <is>
          <t>TikTok</t>
        </is>
      </c>
      <c r="D154" s="11" t="inlineStr">
        <is>
          <t>DETAIL</t>
        </is>
      </c>
    </row>
    <row r="155">
      <c r="A155" s="11" t="inlineStr">
        <is>
          <t>V076</t>
        </is>
      </c>
      <c r="B155" s="10" t="n">
        <v>46437</v>
      </c>
      <c r="C155" s="11" t="inlineStr">
        <is>
          <t>Instagram</t>
        </is>
      </c>
      <c r="D155" s="11" t="inlineStr">
        <is>
          <t>DETAIL</t>
        </is>
      </c>
    </row>
    <row r="156">
      <c r="A156" s="11" t="inlineStr">
        <is>
          <t>V077</t>
        </is>
      </c>
      <c r="B156" s="10" t="n">
        <v>46440</v>
      </c>
      <c r="C156" s="11" t="inlineStr">
        <is>
          <t>TikTok</t>
        </is>
      </c>
      <c r="D156" s="11" t="inlineStr">
        <is>
          <t>BUILD</t>
        </is>
      </c>
    </row>
    <row r="157">
      <c r="A157" s="11" t="inlineStr">
        <is>
          <t>V077</t>
        </is>
      </c>
      <c r="B157" s="10" t="n">
        <v>46440</v>
      </c>
      <c r="C157" s="11" t="inlineStr">
        <is>
          <t>Instagram</t>
        </is>
      </c>
      <c r="D157" s="11" t="inlineStr">
        <is>
          <t>BUILD</t>
        </is>
      </c>
    </row>
    <row r="158">
      <c r="A158" s="11" t="inlineStr">
        <is>
          <t>V078</t>
        </is>
      </c>
      <c r="B158" s="10" t="n">
        <v>46443</v>
      </c>
      <c r="C158" s="11" t="inlineStr">
        <is>
          <t>TikTok</t>
        </is>
      </c>
      <c r="D158" s="11" t="inlineStr">
        <is>
          <t>REACH</t>
        </is>
      </c>
    </row>
    <row r="159">
      <c r="A159" s="11" t="inlineStr">
        <is>
          <t>V078</t>
        </is>
      </c>
      <c r="B159" s="10" t="n">
        <v>46443</v>
      </c>
      <c r="C159" s="11" t="inlineStr">
        <is>
          <t>Instagram</t>
        </is>
      </c>
      <c r="D159" s="11" t="inlineStr">
        <is>
          <t>REACH</t>
        </is>
      </c>
    </row>
    <row r="160">
      <c r="A160" s="11" t="inlineStr">
        <is>
          <t>V079</t>
        </is>
      </c>
      <c r="B160" s="10" t="n">
        <v>46444</v>
      </c>
      <c r="C160" s="11" t="inlineStr">
        <is>
          <t>TikTok</t>
        </is>
      </c>
      <c r="D160" s="11" t="inlineStr">
        <is>
          <t>DETAIL</t>
        </is>
      </c>
    </row>
    <row r="161">
      <c r="A161" s="11" t="inlineStr">
        <is>
          <t>V079</t>
        </is>
      </c>
      <c r="B161" s="10" t="n">
        <v>46444</v>
      </c>
      <c r="C161" s="11" t="inlineStr">
        <is>
          <t>Instagram</t>
        </is>
      </c>
      <c r="D161" s="11" t="inlineStr">
        <is>
          <t>DETAIL</t>
        </is>
      </c>
    </row>
    <row r="162">
      <c r="A162" s="11" t="inlineStr">
        <is>
          <t>V080</t>
        </is>
      </c>
      <c r="B162" s="10" t="n">
        <v>46445</v>
      </c>
      <c r="C162" s="11" t="inlineStr">
        <is>
          <t>TikTok</t>
        </is>
      </c>
      <c r="D162" s="11" t="inlineStr">
        <is>
          <t>ASK</t>
        </is>
      </c>
    </row>
    <row r="163">
      <c r="A163" s="11" t="inlineStr">
        <is>
          <t>V080</t>
        </is>
      </c>
      <c r="B163" s="10" t="n">
        <v>46445</v>
      </c>
      <c r="C163" s="11" t="inlineStr">
        <is>
          <t>Instagram</t>
        </is>
      </c>
      <c r="D163" s="11" t="inlineStr">
        <is>
          <t>ASK</t>
        </is>
      </c>
    </row>
    <row r="164">
      <c r="A164" s="11" t="inlineStr">
        <is>
          <t>V081</t>
        </is>
      </c>
      <c r="B164" s="10" t="n">
        <v>46447</v>
      </c>
      <c r="C164" s="11" t="inlineStr">
        <is>
          <t>TikTok</t>
        </is>
      </c>
      <c r="D164" s="11" t="inlineStr">
        <is>
          <t>BUILD</t>
        </is>
      </c>
    </row>
    <row r="165">
      <c r="A165" s="11" t="inlineStr">
        <is>
          <t>V081</t>
        </is>
      </c>
      <c r="B165" s="10" t="n">
        <v>46447</v>
      </c>
      <c r="C165" s="11" t="inlineStr">
        <is>
          <t>Instagram</t>
        </is>
      </c>
      <c r="D165" s="11" t="inlineStr">
        <is>
          <t>BUILD</t>
        </is>
      </c>
    </row>
    <row r="166">
      <c r="A166" s="11" t="inlineStr">
        <is>
          <t>V082</t>
        </is>
      </c>
      <c r="B166" s="10" t="n">
        <v>46448</v>
      </c>
      <c r="C166" s="11" t="inlineStr">
        <is>
          <t>TikTok</t>
        </is>
      </c>
      <c r="D166" s="11" t="inlineStr">
        <is>
          <t>ORIGIN</t>
        </is>
      </c>
    </row>
    <row r="167">
      <c r="A167" s="11" t="inlineStr">
        <is>
          <t>V082</t>
        </is>
      </c>
      <c r="B167" s="10" t="n">
        <v>46448</v>
      </c>
      <c r="C167" s="11" t="inlineStr">
        <is>
          <t>Instagram</t>
        </is>
      </c>
      <c r="D167" s="11" t="inlineStr">
        <is>
          <t>ORIGIN</t>
        </is>
      </c>
    </row>
    <row r="168">
      <c r="A168" s="11" t="inlineStr">
        <is>
          <t>V083</t>
        </is>
      </c>
      <c r="B168" s="10" t="n">
        <v>46449</v>
      </c>
      <c r="C168" s="11" t="inlineStr">
        <is>
          <t>TikTok</t>
        </is>
      </c>
      <c r="D168" s="11" t="inlineStr">
        <is>
          <t>REACH</t>
        </is>
      </c>
    </row>
    <row r="169">
      <c r="A169" s="11" t="inlineStr">
        <is>
          <t>V083</t>
        </is>
      </c>
      <c r="B169" s="10" t="n">
        <v>46449</v>
      </c>
      <c r="C169" s="11" t="inlineStr">
        <is>
          <t>Instagram</t>
        </is>
      </c>
      <c r="D169" s="11" t="inlineStr">
        <is>
          <t>REACH</t>
        </is>
      </c>
    </row>
    <row r="170">
      <c r="A170" s="11" t="inlineStr">
        <is>
          <t>V084</t>
        </is>
      </c>
      <c r="B170" s="10" t="n">
        <v>46451</v>
      </c>
      <c r="C170" s="11" t="inlineStr">
        <is>
          <t>TikTok</t>
        </is>
      </c>
      <c r="D170" s="11" t="inlineStr">
        <is>
          <t>DETAIL</t>
        </is>
      </c>
    </row>
    <row r="171">
      <c r="A171" s="11" t="inlineStr">
        <is>
          <t>V084</t>
        </is>
      </c>
      <c r="B171" s="10" t="n">
        <v>46451</v>
      </c>
      <c r="C171" s="11" t="inlineStr">
        <is>
          <t>Instagram</t>
        </is>
      </c>
      <c r="D171" s="11" t="inlineStr">
        <is>
          <t>DETAIL</t>
        </is>
      </c>
    </row>
    <row r="172">
      <c r="A172" s="11" t="inlineStr">
        <is>
          <t>V085</t>
        </is>
      </c>
      <c r="B172" s="10" t="n">
        <v>46452</v>
      </c>
      <c r="C172" s="11" t="inlineStr">
        <is>
          <t>TikTok</t>
        </is>
      </c>
      <c r="D172" s="11" t="inlineStr">
        <is>
          <t>ASK</t>
        </is>
      </c>
    </row>
    <row r="173">
      <c r="A173" s="11" t="inlineStr">
        <is>
          <t>V085</t>
        </is>
      </c>
      <c r="B173" s="10" t="n">
        <v>46452</v>
      </c>
      <c r="C173" s="11" t="inlineStr">
        <is>
          <t>Instagram</t>
        </is>
      </c>
      <c r="D173" s="11" t="inlineStr">
        <is>
          <t>ASK</t>
        </is>
      </c>
    </row>
    <row r="174">
      <c r="A174" s="11" t="inlineStr">
        <is>
          <t>V086</t>
        </is>
      </c>
      <c r="B174" s="10" t="n">
        <v>46454</v>
      </c>
      <c r="C174" s="11" t="inlineStr">
        <is>
          <t>TikTok</t>
        </is>
      </c>
      <c r="D174" s="11" t="inlineStr">
        <is>
          <t>BUILD</t>
        </is>
      </c>
    </row>
    <row r="175">
      <c r="A175" s="11" t="inlineStr">
        <is>
          <t>V086</t>
        </is>
      </c>
      <c r="B175" s="10" t="n">
        <v>46454</v>
      </c>
      <c r="C175" s="11" t="inlineStr">
        <is>
          <t>Instagram</t>
        </is>
      </c>
      <c r="D175" s="11" t="inlineStr">
        <is>
          <t>BUILD</t>
        </is>
      </c>
    </row>
    <row r="176">
      <c r="A176" s="11" t="inlineStr">
        <is>
          <t>V087</t>
        </is>
      </c>
      <c r="B176" s="10" t="n">
        <v>46455</v>
      </c>
      <c r="C176" s="11" t="inlineStr">
        <is>
          <t>TikTok</t>
        </is>
      </c>
      <c r="D176" s="11" t="inlineStr">
        <is>
          <t>ORIGIN</t>
        </is>
      </c>
    </row>
    <row r="177">
      <c r="A177" s="11" t="inlineStr">
        <is>
          <t>V087</t>
        </is>
      </c>
      <c r="B177" s="10" t="n">
        <v>46455</v>
      </c>
      <c r="C177" s="11" t="inlineStr">
        <is>
          <t>Instagram</t>
        </is>
      </c>
      <c r="D177" s="11" t="inlineStr">
        <is>
          <t>ORIGIN</t>
        </is>
      </c>
    </row>
    <row r="178">
      <c r="A178" s="11" t="inlineStr">
        <is>
          <t>V088</t>
        </is>
      </c>
      <c r="B178" s="10" t="n">
        <v>46456</v>
      </c>
      <c r="C178" s="11" t="inlineStr">
        <is>
          <t>TikTok</t>
        </is>
      </c>
      <c r="D178" s="11" t="inlineStr">
        <is>
          <t>REACH</t>
        </is>
      </c>
    </row>
    <row r="179">
      <c r="A179" s="11" t="inlineStr">
        <is>
          <t>V088</t>
        </is>
      </c>
      <c r="B179" s="10" t="n">
        <v>46456</v>
      </c>
      <c r="C179" s="11" t="inlineStr">
        <is>
          <t>Instagram</t>
        </is>
      </c>
      <c r="D179" s="11" t="inlineStr">
        <is>
          <t>REACH</t>
        </is>
      </c>
    </row>
    <row r="180">
      <c r="A180" s="11" t="inlineStr">
        <is>
          <t>V089</t>
        </is>
      </c>
      <c r="B180" s="10" t="n">
        <v>46458</v>
      </c>
      <c r="C180" s="11" t="inlineStr">
        <is>
          <t>TikTok</t>
        </is>
      </c>
      <c r="D180" s="11" t="inlineStr">
        <is>
          <t>DETAIL</t>
        </is>
      </c>
    </row>
    <row r="181">
      <c r="A181" s="11" t="inlineStr">
        <is>
          <t>V089</t>
        </is>
      </c>
      <c r="B181" s="10" t="n">
        <v>46458</v>
      </c>
      <c r="C181" s="11" t="inlineStr">
        <is>
          <t>Instagram</t>
        </is>
      </c>
      <c r="D181" s="11" t="inlineStr">
        <is>
          <t>DETAIL</t>
        </is>
      </c>
    </row>
    <row r="182">
      <c r="A182" s="11" t="inlineStr">
        <is>
          <t>V090</t>
        </is>
      </c>
      <c r="B182" s="10" t="n">
        <v>46459</v>
      </c>
      <c r="C182" s="11" t="inlineStr">
        <is>
          <t>TikTok</t>
        </is>
      </c>
      <c r="D182" s="11" t="inlineStr">
        <is>
          <t>ASK</t>
        </is>
      </c>
    </row>
    <row r="183">
      <c r="A183" s="11" t="inlineStr">
        <is>
          <t>V090</t>
        </is>
      </c>
      <c r="B183" s="10" t="n">
        <v>46459</v>
      </c>
      <c r="C183" s="11" t="inlineStr">
        <is>
          <t>Instagram</t>
        </is>
      </c>
      <c r="D183" s="11" t="inlineStr">
        <is>
          <t>ASK</t>
        </is>
      </c>
    </row>
    <row r="184">
      <c r="A184" s="11" t="inlineStr">
        <is>
          <t>V091</t>
        </is>
      </c>
      <c r="B184" s="10" t="n">
        <v>46461</v>
      </c>
      <c r="C184" s="11" t="inlineStr">
        <is>
          <t>TikTok</t>
        </is>
      </c>
      <c r="D184" s="11" t="inlineStr">
        <is>
          <t>BUILD</t>
        </is>
      </c>
    </row>
    <row r="185">
      <c r="A185" s="11" t="inlineStr">
        <is>
          <t>V091</t>
        </is>
      </c>
      <c r="B185" s="10" t="n">
        <v>46461</v>
      </c>
      <c r="C185" s="11" t="inlineStr">
        <is>
          <t>Instagram</t>
        </is>
      </c>
      <c r="D185" s="11" t="inlineStr">
        <is>
          <t>BUILD</t>
        </is>
      </c>
    </row>
    <row r="186">
      <c r="A186" s="11" t="inlineStr">
        <is>
          <t>V092</t>
        </is>
      </c>
      <c r="B186" s="10" t="n">
        <v>46462</v>
      </c>
      <c r="C186" s="11" t="inlineStr">
        <is>
          <t>TikTok</t>
        </is>
      </c>
      <c r="D186" s="11" t="inlineStr">
        <is>
          <t>ORIGIN</t>
        </is>
      </c>
    </row>
    <row r="187">
      <c r="A187" s="11" t="inlineStr">
        <is>
          <t>V092</t>
        </is>
      </c>
      <c r="B187" s="10" t="n">
        <v>46462</v>
      </c>
      <c r="C187" s="11" t="inlineStr">
        <is>
          <t>Instagram</t>
        </is>
      </c>
      <c r="D187" s="11" t="inlineStr">
        <is>
          <t>ORIGIN</t>
        </is>
      </c>
    </row>
    <row r="188">
      <c r="A188" s="11" t="inlineStr">
        <is>
          <t>V093</t>
        </is>
      </c>
      <c r="B188" s="10" t="n">
        <v>46463</v>
      </c>
      <c r="C188" s="11" t="inlineStr">
        <is>
          <t>TikTok</t>
        </is>
      </c>
      <c r="D188" s="11" t="inlineStr">
        <is>
          <t>REACH</t>
        </is>
      </c>
    </row>
    <row r="189">
      <c r="A189" s="11" t="inlineStr">
        <is>
          <t>V093</t>
        </is>
      </c>
      <c r="B189" s="10" t="n">
        <v>46463</v>
      </c>
      <c r="C189" s="11" t="inlineStr">
        <is>
          <t>Instagram</t>
        </is>
      </c>
      <c r="D189" s="11" t="inlineStr">
        <is>
          <t>REACH</t>
        </is>
      </c>
    </row>
    <row r="190">
      <c r="A190" s="11" t="inlineStr">
        <is>
          <t>V094</t>
        </is>
      </c>
      <c r="B190" s="10" t="n">
        <v>46465</v>
      </c>
      <c r="C190" s="11" t="inlineStr">
        <is>
          <t>TikTok</t>
        </is>
      </c>
      <c r="D190" s="11" t="inlineStr">
        <is>
          <t>DETAIL</t>
        </is>
      </c>
    </row>
    <row r="191">
      <c r="A191" s="11" t="inlineStr">
        <is>
          <t>V094</t>
        </is>
      </c>
      <c r="B191" s="10" t="n">
        <v>46465</v>
      </c>
      <c r="C191" s="11" t="inlineStr">
        <is>
          <t>Instagram</t>
        </is>
      </c>
      <c r="D191" s="11" t="inlineStr">
        <is>
          <t>DETAIL</t>
        </is>
      </c>
    </row>
    <row r="192">
      <c r="A192" s="11" t="inlineStr">
        <is>
          <t>V095</t>
        </is>
      </c>
      <c r="B192" s="10" t="n">
        <v>46466</v>
      </c>
      <c r="C192" s="11" t="inlineStr">
        <is>
          <t>TikTok</t>
        </is>
      </c>
      <c r="D192" s="11" t="inlineStr">
        <is>
          <t>ASK</t>
        </is>
      </c>
    </row>
    <row r="193">
      <c r="A193" s="11" t="inlineStr">
        <is>
          <t>V095</t>
        </is>
      </c>
      <c r="B193" s="10" t="n">
        <v>46466</v>
      </c>
      <c r="C193" s="11" t="inlineStr">
        <is>
          <t>Instagram</t>
        </is>
      </c>
      <c r="D193" s="11" t="inlineStr">
        <is>
          <t>ASK</t>
        </is>
      </c>
    </row>
    <row r="194">
      <c r="A194" s="11" t="inlineStr">
        <is>
          <t>V096</t>
        </is>
      </c>
      <c r="B194" s="10" t="n">
        <v>46468</v>
      </c>
      <c r="C194" s="11" t="inlineStr">
        <is>
          <t>TikTok</t>
        </is>
      </c>
      <c r="D194" s="11" t="inlineStr">
        <is>
          <t>BUILD</t>
        </is>
      </c>
    </row>
    <row r="195">
      <c r="A195" s="11" t="inlineStr">
        <is>
          <t>V096</t>
        </is>
      </c>
      <c r="B195" s="10" t="n">
        <v>46468</v>
      </c>
      <c r="C195" s="11" t="inlineStr">
        <is>
          <t>Instagram</t>
        </is>
      </c>
      <c r="D195" s="11" t="inlineStr">
        <is>
          <t>BUILD</t>
        </is>
      </c>
    </row>
    <row r="196">
      <c r="A196" s="11" t="inlineStr">
        <is>
          <t>V097</t>
        </is>
      </c>
      <c r="B196" s="10" t="n">
        <v>46469</v>
      </c>
      <c r="C196" s="11" t="inlineStr">
        <is>
          <t>TikTok</t>
        </is>
      </c>
      <c r="D196" s="11" t="inlineStr">
        <is>
          <t>ORIGIN</t>
        </is>
      </c>
    </row>
    <row r="197">
      <c r="A197" s="11" t="inlineStr">
        <is>
          <t>V097</t>
        </is>
      </c>
      <c r="B197" s="10" t="n">
        <v>46469</v>
      </c>
      <c r="C197" s="11" t="inlineStr">
        <is>
          <t>Instagram</t>
        </is>
      </c>
      <c r="D197" s="11" t="inlineStr">
        <is>
          <t>ORIGIN</t>
        </is>
      </c>
    </row>
    <row r="198">
      <c r="A198" s="11" t="inlineStr">
        <is>
          <t>V098</t>
        </is>
      </c>
      <c r="B198" s="10" t="n">
        <v>46470</v>
      </c>
      <c r="C198" s="11" t="inlineStr">
        <is>
          <t>TikTok</t>
        </is>
      </c>
      <c r="D198" s="11" t="inlineStr">
        <is>
          <t>REACH</t>
        </is>
      </c>
    </row>
    <row r="199">
      <c r="A199" s="11" t="inlineStr">
        <is>
          <t>V098</t>
        </is>
      </c>
      <c r="B199" s="10" t="n">
        <v>46470</v>
      </c>
      <c r="C199" s="11" t="inlineStr">
        <is>
          <t>Instagram</t>
        </is>
      </c>
      <c r="D199" s="11" t="inlineStr">
        <is>
          <t>REACH</t>
        </is>
      </c>
    </row>
    <row r="200">
      <c r="A200" s="11" t="inlineStr">
        <is>
          <t>V099</t>
        </is>
      </c>
      <c r="B200" s="10" t="n">
        <v>46472</v>
      </c>
      <c r="C200" s="11" t="inlineStr">
        <is>
          <t>TikTok</t>
        </is>
      </c>
      <c r="D200" s="11" t="inlineStr">
        <is>
          <t>DETAIL</t>
        </is>
      </c>
    </row>
    <row r="201">
      <c r="A201" s="11" t="inlineStr">
        <is>
          <t>V099</t>
        </is>
      </c>
      <c r="B201" s="10" t="n">
        <v>46472</v>
      </c>
      <c r="C201" s="11" t="inlineStr">
        <is>
          <t>Instagram</t>
        </is>
      </c>
      <c r="D201" s="11" t="inlineStr">
        <is>
          <t>DETAIL</t>
        </is>
      </c>
    </row>
    <row r="202">
      <c r="A202" s="11" t="inlineStr">
        <is>
          <t>V100</t>
        </is>
      </c>
      <c r="B202" s="10" t="n">
        <v>46473</v>
      </c>
      <c r="C202" s="11" t="inlineStr">
        <is>
          <t>TikTok</t>
        </is>
      </c>
      <c r="D202" s="11" t="inlineStr">
        <is>
          <t>ASK</t>
        </is>
      </c>
    </row>
    <row r="203">
      <c r="A203" s="11" t="inlineStr">
        <is>
          <t>V100</t>
        </is>
      </c>
      <c r="B203" s="10" t="n">
        <v>46473</v>
      </c>
      <c r="C203" s="11" t="inlineStr">
        <is>
          <t>Instagram</t>
        </is>
      </c>
      <c r="D203" s="11" t="inlineStr">
        <is>
          <t>ASK</t>
        </is>
      </c>
    </row>
    <row r="204">
      <c r="A204" s="11" t="inlineStr">
        <is>
          <t>V101</t>
        </is>
      </c>
      <c r="B204" s="10" t="n">
        <v>46499</v>
      </c>
      <c r="C204" s="11" t="inlineStr">
        <is>
          <t>TikTok</t>
        </is>
      </c>
      <c r="D204" s="11" t="inlineStr">
        <is>
          <t>ASK</t>
        </is>
      </c>
    </row>
    <row r="205">
      <c r="A205" s="11" t="inlineStr">
        <is>
          <t>V101</t>
        </is>
      </c>
      <c r="B205" s="10" t="n">
        <v>46499</v>
      </c>
      <c r="C205" s="11" t="inlineStr">
        <is>
          <t>Instagram</t>
        </is>
      </c>
      <c r="D205" s="11" t="inlineStr">
        <is>
          <t>ASK</t>
        </is>
      </c>
    </row>
    <row r="206">
      <c r="A206" s="11" t="inlineStr">
        <is>
          <t>V102</t>
        </is>
      </c>
      <c r="B206" s="10" t="n">
        <v>46499</v>
      </c>
      <c r="C206" s="11" t="inlineStr">
        <is>
          <t>TikTok</t>
        </is>
      </c>
      <c r="D206" s="11" t="inlineStr">
        <is>
          <t>REACH</t>
        </is>
      </c>
    </row>
    <row r="207">
      <c r="A207" s="11" t="inlineStr">
        <is>
          <t>V102</t>
        </is>
      </c>
      <c r="B207" s="10" t="n">
        <v>46499</v>
      </c>
      <c r="C207" s="11" t="inlineStr">
        <is>
          <t>Instagram</t>
        </is>
      </c>
      <c r="D207" s="11" t="inlineStr">
        <is>
          <t>REACH</t>
        </is>
      </c>
    </row>
    <row r="208">
      <c r="A208" s="11" t="inlineStr">
        <is>
          <t>V103</t>
        </is>
      </c>
      <c r="B208" s="10" t="n">
        <v>46499</v>
      </c>
      <c r="C208" s="11" t="inlineStr">
        <is>
          <t>TikTok</t>
        </is>
      </c>
      <c r="D208" s="11" t="inlineStr">
        <is>
          <t>ASK</t>
        </is>
      </c>
    </row>
    <row r="209">
      <c r="A209" s="11" t="inlineStr">
        <is>
          <t>V103</t>
        </is>
      </c>
      <c r="B209" s="10" t="n">
        <v>46499</v>
      </c>
      <c r="C209" s="11" t="inlineStr">
        <is>
          <t>Instagram</t>
        </is>
      </c>
      <c r="D209" s="11" t="inlineStr">
        <is>
          <t>ASK</t>
        </is>
      </c>
    </row>
    <row r="210">
      <c r="A210" s="11" t="inlineStr">
        <is>
          <t>V107</t>
        </is>
      </c>
      <c r="B210" s="10" t="n">
        <v>46499</v>
      </c>
      <c r="C210" s="11" t="inlineStr">
        <is>
          <t>TikTok</t>
        </is>
      </c>
      <c r="D210" s="11" t="inlineStr">
        <is>
          <t>ASK</t>
        </is>
      </c>
    </row>
    <row r="211">
      <c r="A211" s="11" t="inlineStr">
        <is>
          <t>V107</t>
        </is>
      </c>
      <c r="B211" s="10" t="n">
        <v>46499</v>
      </c>
      <c r="C211" s="11" t="inlineStr">
        <is>
          <t>Instagram</t>
        </is>
      </c>
      <c r="D211" s="11" t="inlineStr">
        <is>
          <t>ASK</t>
        </is>
      </c>
    </row>
    <row r="212">
      <c r="A212" s="11" t="inlineStr">
        <is>
          <t>V104</t>
        </is>
      </c>
      <c r="B212" s="10" t="n">
        <v>46500</v>
      </c>
      <c r="C212" s="11" t="inlineStr">
        <is>
          <t>TikTok</t>
        </is>
      </c>
      <c r="D212" s="11" t="inlineStr">
        <is>
          <t>BUILD</t>
        </is>
      </c>
    </row>
    <row r="213">
      <c r="A213" s="11" t="inlineStr">
        <is>
          <t>V104</t>
        </is>
      </c>
      <c r="B213" s="10" t="n">
        <v>46500</v>
      </c>
      <c r="C213" s="11" t="inlineStr">
        <is>
          <t>Instagram</t>
        </is>
      </c>
      <c r="D213" s="11" t="inlineStr">
        <is>
          <t>BUILD</t>
        </is>
      </c>
    </row>
    <row r="214">
      <c r="A214" s="11" t="inlineStr">
        <is>
          <t>V105</t>
        </is>
      </c>
      <c r="B214" s="10" t="n">
        <v>46501</v>
      </c>
      <c r="C214" s="11" t="inlineStr">
        <is>
          <t>TikTok</t>
        </is>
      </c>
      <c r="D214" s="11" t="inlineStr">
        <is>
          <t>ASK</t>
        </is>
      </c>
    </row>
    <row r="215">
      <c r="A215" s="11" t="inlineStr">
        <is>
          <t>V105</t>
        </is>
      </c>
      <c r="B215" s="10" t="n">
        <v>46501</v>
      </c>
      <c r="C215" s="11" t="inlineStr">
        <is>
          <t>Instagram</t>
        </is>
      </c>
      <c r="D215" s="11" t="inlineStr">
        <is>
          <t>ASK</t>
        </is>
      </c>
    </row>
    <row r="216">
      <c r="A216" s="11" t="inlineStr">
        <is>
          <t>V106</t>
        </is>
      </c>
      <c r="B216" s="10" t="n">
        <v>46502</v>
      </c>
      <c r="C216" s="11" t="inlineStr">
        <is>
          <t>TikTok</t>
        </is>
      </c>
      <c r="D216" s="11" t="inlineStr">
        <is>
          <t>REAL</t>
        </is>
      </c>
    </row>
    <row r="217">
      <c r="A217" s="11" t="inlineStr">
        <is>
          <t>V106</t>
        </is>
      </c>
      <c r="B217" s="10" t="n">
        <v>46502</v>
      </c>
      <c r="C217" s="11" t="inlineStr">
        <is>
          <t>Instagram</t>
        </is>
      </c>
      <c r="D217" s="11" t="inlineStr">
        <is>
          <t>REAL</t>
        </is>
      </c>
    </row>
    <row r="218">
      <c r="A218" s="11" t="inlineStr">
        <is>
          <t>V108</t>
        </is>
      </c>
      <c r="B218" s="11" t="inlineStr">
        <is>
          <t>Reserve</t>
        </is>
      </c>
      <c r="C218" s="11" t="inlineStr">
        <is>
          <t>TikTok</t>
        </is>
      </c>
      <c r="D218" s="11" t="inlineStr">
        <is>
          <t>ORIGIN</t>
        </is>
      </c>
    </row>
    <row r="219">
      <c r="A219" s="11" t="inlineStr">
        <is>
          <t>V108</t>
        </is>
      </c>
      <c r="B219" s="11" t="inlineStr">
        <is>
          <t>Reserve</t>
        </is>
      </c>
      <c r="C219" s="11" t="inlineStr">
        <is>
          <t>Instagram</t>
        </is>
      </c>
      <c r="D219" s="11" t="inlineStr">
        <is>
          <t>ORIGIN</t>
        </is>
      </c>
    </row>
    <row r="220">
      <c r="A220" s="11" t="inlineStr">
        <is>
          <t>V109</t>
        </is>
      </c>
      <c r="B220" s="11" t="inlineStr">
        <is>
          <t>Reserve</t>
        </is>
      </c>
      <c r="C220" s="11" t="inlineStr">
        <is>
          <t>TikTok</t>
        </is>
      </c>
      <c r="D220" s="11" t="inlineStr">
        <is>
          <t>ORIGIN</t>
        </is>
      </c>
    </row>
    <row r="221">
      <c r="A221" s="11" t="inlineStr">
        <is>
          <t>V109</t>
        </is>
      </c>
      <c r="B221" s="11" t="inlineStr">
        <is>
          <t>Reserve</t>
        </is>
      </c>
      <c r="C221" s="11" t="inlineStr">
        <is>
          <t>Instagram</t>
        </is>
      </c>
      <c r="D221" s="11" t="inlineStr">
        <is>
          <t>ORIGIN</t>
        </is>
      </c>
    </row>
    <row r="222">
      <c r="A222" s="11" t="inlineStr">
        <is>
          <t>V110</t>
        </is>
      </c>
      <c r="B222" s="11" t="inlineStr">
        <is>
          <t>Reserve</t>
        </is>
      </c>
      <c r="C222" s="11" t="inlineStr">
        <is>
          <t>TikTok</t>
        </is>
      </c>
      <c r="D222" s="11" t="inlineStr">
        <is>
          <t>ORIGIN</t>
        </is>
      </c>
    </row>
    <row r="223">
      <c r="A223" s="11" t="inlineStr">
        <is>
          <t>V110</t>
        </is>
      </c>
      <c r="B223" s="11" t="inlineStr">
        <is>
          <t>Reserve</t>
        </is>
      </c>
      <c r="C223" s="11" t="inlineStr">
        <is>
          <t>Instagram</t>
        </is>
      </c>
      <c r="D223" s="11" t="inlineStr">
        <is>
          <t>ORIGIN</t>
        </is>
      </c>
    </row>
    <row r="224">
      <c r="A224" s="11" t="inlineStr">
        <is>
          <t>V111</t>
        </is>
      </c>
      <c r="B224" s="11" t="inlineStr">
        <is>
          <t>Reserve</t>
        </is>
      </c>
      <c r="C224" s="11" t="inlineStr">
        <is>
          <t>TikTok</t>
        </is>
      </c>
      <c r="D224" s="11" t="inlineStr">
        <is>
          <t>ORIGIN</t>
        </is>
      </c>
    </row>
    <row r="225">
      <c r="A225" s="11" t="inlineStr">
        <is>
          <t>V111</t>
        </is>
      </c>
      <c r="B225" s="11" t="inlineStr">
        <is>
          <t>Reserve</t>
        </is>
      </c>
      <c r="C225" s="11" t="inlineStr">
        <is>
          <t>Instagram</t>
        </is>
      </c>
      <c r="D225" s="11" t="inlineStr">
        <is>
          <t>ORIGIN</t>
        </is>
      </c>
    </row>
    <row r="226">
      <c r="A226" s="11" t="inlineStr">
        <is>
          <t>V112</t>
        </is>
      </c>
      <c r="B226" s="11" t="inlineStr">
        <is>
          <t>Reserve</t>
        </is>
      </c>
      <c r="C226" s="11" t="inlineStr">
        <is>
          <t>TikTok</t>
        </is>
      </c>
      <c r="D226" s="11" t="inlineStr">
        <is>
          <t>ORIGIN</t>
        </is>
      </c>
    </row>
    <row r="227">
      <c r="A227" s="11" t="inlineStr">
        <is>
          <t>V112</t>
        </is>
      </c>
      <c r="B227" s="11" t="inlineStr">
        <is>
          <t>Reserve</t>
        </is>
      </c>
      <c r="C227" s="11" t="inlineStr">
        <is>
          <t>Instagram</t>
        </is>
      </c>
      <c r="D227" s="11" t="inlineStr">
        <is>
          <t>ORIGIN</t>
        </is>
      </c>
    </row>
    <row r="228">
      <c r="A228" s="11" t="inlineStr">
        <is>
          <t>V113</t>
        </is>
      </c>
      <c r="B228" s="11" t="inlineStr">
        <is>
          <t>Reserve</t>
        </is>
      </c>
      <c r="C228" s="11" t="inlineStr">
        <is>
          <t>TikTok</t>
        </is>
      </c>
      <c r="D228" s="11" t="inlineStr">
        <is>
          <t>REAL</t>
        </is>
      </c>
    </row>
    <row r="229">
      <c r="A229" s="11" t="inlineStr">
        <is>
          <t>V113</t>
        </is>
      </c>
      <c r="B229" s="11" t="inlineStr">
        <is>
          <t>Reserve</t>
        </is>
      </c>
      <c r="C229" s="11" t="inlineStr">
        <is>
          <t>Instagram</t>
        </is>
      </c>
      <c r="D229" s="11" t="inlineStr">
        <is>
          <t>REAL</t>
        </is>
      </c>
    </row>
    <row r="230">
      <c r="A230" s="11" t="inlineStr">
        <is>
          <t>V114</t>
        </is>
      </c>
      <c r="B230" s="11" t="inlineStr">
        <is>
          <t>Reserve</t>
        </is>
      </c>
      <c r="C230" s="11" t="inlineStr">
        <is>
          <t>TikTok</t>
        </is>
      </c>
      <c r="D230" s="11" t="inlineStr">
        <is>
          <t>REAL</t>
        </is>
      </c>
    </row>
    <row r="231">
      <c r="A231" s="11" t="inlineStr">
        <is>
          <t>V114</t>
        </is>
      </c>
      <c r="B231" s="11" t="inlineStr">
        <is>
          <t>Reserve</t>
        </is>
      </c>
      <c r="C231" s="11" t="inlineStr">
        <is>
          <t>Instagram</t>
        </is>
      </c>
      <c r="D231" s="11" t="inlineStr">
        <is>
          <t>REAL</t>
        </is>
      </c>
    </row>
    <row r="232">
      <c r="A232" s="11" t="inlineStr">
        <is>
          <t>V115</t>
        </is>
      </c>
      <c r="B232" s="11" t="inlineStr">
        <is>
          <t>Reserve</t>
        </is>
      </c>
      <c r="C232" s="11" t="inlineStr">
        <is>
          <t>TikTok</t>
        </is>
      </c>
      <c r="D232" s="11" t="inlineStr">
        <is>
          <t>DETAIL</t>
        </is>
      </c>
    </row>
    <row r="233">
      <c r="A233" s="11" t="inlineStr">
        <is>
          <t>V115</t>
        </is>
      </c>
      <c r="B233" s="11" t="inlineStr">
        <is>
          <t>Reserve</t>
        </is>
      </c>
      <c r="C233" s="11" t="inlineStr">
        <is>
          <t>Instagram</t>
        </is>
      </c>
      <c r="D233" s="11" t="inlineStr">
        <is>
          <t>DETAIL</t>
        </is>
      </c>
    </row>
    <row r="234">
      <c r="A234" s="11" t="inlineStr">
        <is>
          <t>V116</t>
        </is>
      </c>
      <c r="B234" s="11" t="inlineStr">
        <is>
          <t>Reserve</t>
        </is>
      </c>
      <c r="C234" s="11" t="inlineStr">
        <is>
          <t>TikTok</t>
        </is>
      </c>
      <c r="D234" s="11" t="inlineStr">
        <is>
          <t>BUILD</t>
        </is>
      </c>
    </row>
    <row r="235">
      <c r="A235" s="11" t="inlineStr">
        <is>
          <t>V116</t>
        </is>
      </c>
      <c r="B235" s="11" t="inlineStr">
        <is>
          <t>Reserve</t>
        </is>
      </c>
      <c r="C235" s="11" t="inlineStr">
        <is>
          <t>Instagram</t>
        </is>
      </c>
      <c r="D235" s="11" t="inlineStr">
        <is>
          <t>BUILD</t>
        </is>
      </c>
    </row>
    <row r="236">
      <c r="A236" s="11" t="inlineStr">
        <is>
          <t>V117</t>
        </is>
      </c>
      <c r="B236" s="11" t="inlineStr">
        <is>
          <t>Reserve</t>
        </is>
      </c>
      <c r="C236" s="11" t="inlineStr">
        <is>
          <t>TikTok</t>
        </is>
      </c>
      <c r="D236" s="11" t="inlineStr">
        <is>
          <t>REACH</t>
        </is>
      </c>
    </row>
    <row r="237">
      <c r="A237" s="11" t="inlineStr">
        <is>
          <t>V117</t>
        </is>
      </c>
      <c r="B237" s="11" t="inlineStr">
        <is>
          <t>Reserve</t>
        </is>
      </c>
      <c r="C237" s="11" t="inlineStr">
        <is>
          <t>Instagram</t>
        </is>
      </c>
      <c r="D237" s="11" t="inlineStr">
        <is>
          <t>REACH</t>
        </is>
      </c>
    </row>
    <row r="238">
      <c r="A238" s="11" t="inlineStr">
        <is>
          <t>V118</t>
        </is>
      </c>
      <c r="B238" s="11" t="inlineStr">
        <is>
          <t>Reserve</t>
        </is>
      </c>
      <c r="C238" s="11" t="inlineStr">
        <is>
          <t>TikTok</t>
        </is>
      </c>
      <c r="D238" s="11" t="inlineStr">
        <is>
          <t>DETAIL</t>
        </is>
      </c>
    </row>
    <row r="239">
      <c r="A239" s="11" t="inlineStr">
        <is>
          <t>V118</t>
        </is>
      </c>
      <c r="B239" s="11" t="inlineStr">
        <is>
          <t>Reserve</t>
        </is>
      </c>
      <c r="C239" s="11" t="inlineStr">
        <is>
          <t>Instagram</t>
        </is>
      </c>
      <c r="D239" s="11" t="inlineStr">
        <is>
          <t>DETAIL</t>
        </is>
      </c>
    </row>
    <row r="240">
      <c r="A240" s="11" t="inlineStr">
        <is>
          <t>V119</t>
        </is>
      </c>
      <c r="B240" s="11" t="inlineStr">
        <is>
          <t>Reserve</t>
        </is>
      </c>
      <c r="C240" s="11" t="inlineStr">
        <is>
          <t>TikTok</t>
        </is>
      </c>
      <c r="D240" s="11" t="inlineStr">
        <is>
          <t>BUILD</t>
        </is>
      </c>
    </row>
    <row r="241">
      <c r="A241" s="11" t="inlineStr">
        <is>
          <t>V119</t>
        </is>
      </c>
      <c r="B241" s="11" t="inlineStr">
        <is>
          <t>Reserve</t>
        </is>
      </c>
      <c r="C241" s="11" t="inlineStr">
        <is>
          <t>Instagram</t>
        </is>
      </c>
      <c r="D241" s="11" t="inlineStr">
        <is>
          <t>BUILD</t>
        </is>
      </c>
    </row>
    <row r="242">
      <c r="A242" s="11" t="inlineStr">
        <is>
          <t>V120</t>
        </is>
      </c>
      <c r="B242" s="11" t="inlineStr">
        <is>
          <t>Reserve</t>
        </is>
      </c>
      <c r="C242" s="11" t="inlineStr">
        <is>
          <t>TikTok</t>
        </is>
      </c>
      <c r="D242" s="11" t="inlineStr">
        <is>
          <t>BUILD</t>
        </is>
      </c>
    </row>
    <row r="243">
      <c r="A243" s="11" t="inlineStr">
        <is>
          <t>V120</t>
        </is>
      </c>
      <c r="B243" s="11" t="inlineStr">
        <is>
          <t>Reserve</t>
        </is>
      </c>
      <c r="C243" s="11" t="inlineStr">
        <is>
          <t>Instagram</t>
        </is>
      </c>
      <c r="D243" s="11" t="inlineStr">
        <is>
          <t>BUILD</t>
        </is>
      </c>
    </row>
    <row r="244">
      <c r="A244" s="11" t="inlineStr">
        <is>
          <t>V121</t>
        </is>
      </c>
      <c r="B244" s="11" t="inlineStr">
        <is>
          <t>Reserve</t>
        </is>
      </c>
      <c r="C244" s="11" t="inlineStr">
        <is>
          <t>TikTok</t>
        </is>
      </c>
      <c r="D244" s="11" t="inlineStr">
        <is>
          <t>REAL</t>
        </is>
      </c>
    </row>
    <row r="245">
      <c r="A245" s="11" t="inlineStr">
        <is>
          <t>V121</t>
        </is>
      </c>
      <c r="B245" s="11" t="inlineStr">
        <is>
          <t>Reserve</t>
        </is>
      </c>
      <c r="C245" s="11" t="inlineStr">
        <is>
          <t>Instagram</t>
        </is>
      </c>
      <c r="D245" s="11" t="inlineStr">
        <is>
          <t>REAL</t>
        </is>
      </c>
    </row>
    <row r="246">
      <c r="A246" s="11" t="inlineStr">
        <is>
          <t>V122</t>
        </is>
      </c>
      <c r="B246" s="11" t="inlineStr">
        <is>
          <t>Reserve</t>
        </is>
      </c>
      <c r="C246" s="11" t="inlineStr">
        <is>
          <t>TikTok</t>
        </is>
      </c>
      <c r="D246" s="11" t="inlineStr">
        <is>
          <t>ASK</t>
        </is>
      </c>
    </row>
    <row r="247">
      <c r="A247" s="11" t="inlineStr">
        <is>
          <t>V122</t>
        </is>
      </c>
      <c r="B247" s="11" t="inlineStr">
        <is>
          <t>Reserve</t>
        </is>
      </c>
      <c r="C247" s="11" t="inlineStr">
        <is>
          <t>Instagram</t>
        </is>
      </c>
      <c r="D247" s="11" t="inlineStr">
        <is>
          <t>ASK</t>
        </is>
      </c>
    </row>
    <row r="248">
      <c r="A248" s="11" t="inlineStr">
        <is>
          <t>V123</t>
        </is>
      </c>
      <c r="B248" s="11" t="inlineStr">
        <is>
          <t>Reserve</t>
        </is>
      </c>
      <c r="C248" s="11" t="inlineStr">
        <is>
          <t>TikTok</t>
        </is>
      </c>
      <c r="D248" s="11" t="inlineStr">
        <is>
          <t>REACH</t>
        </is>
      </c>
    </row>
    <row r="249">
      <c r="A249" s="11" t="inlineStr">
        <is>
          <t>V123</t>
        </is>
      </c>
      <c r="B249" s="11" t="inlineStr">
        <is>
          <t>Reserve</t>
        </is>
      </c>
      <c r="C249" s="11" t="inlineStr">
        <is>
          <t>Instagram</t>
        </is>
      </c>
      <c r="D249" s="11" t="inlineStr">
        <is>
          <t>REACH</t>
        </is>
      </c>
    </row>
    <row r="250">
      <c r="A250" s="11" t="inlineStr">
        <is>
          <t>V124</t>
        </is>
      </c>
      <c r="B250" s="11" t="inlineStr">
        <is>
          <t>Reserve</t>
        </is>
      </c>
      <c r="C250" s="11" t="inlineStr">
        <is>
          <t>TikTok</t>
        </is>
      </c>
      <c r="D250" s="11" t="inlineStr">
        <is>
          <t>DETAIL</t>
        </is>
      </c>
    </row>
    <row r="251">
      <c r="A251" s="11" t="inlineStr">
        <is>
          <t>V124</t>
        </is>
      </c>
      <c r="B251" s="11" t="inlineStr">
        <is>
          <t>Reserve</t>
        </is>
      </c>
      <c r="C251" s="11" t="inlineStr">
        <is>
          <t>Instagram</t>
        </is>
      </c>
      <c r="D251" s="11" t="inlineStr">
        <is>
          <t>DETAIL</t>
        </is>
      </c>
    </row>
    <row r="252">
      <c r="A252" s="11" t="inlineStr">
        <is>
          <t>V125</t>
        </is>
      </c>
      <c r="B252" s="11" t="inlineStr">
        <is>
          <t>Reserve</t>
        </is>
      </c>
      <c r="C252" s="11" t="inlineStr">
        <is>
          <t>TikTok</t>
        </is>
      </c>
      <c r="D252" s="11" t="inlineStr">
        <is>
          <t>REACH</t>
        </is>
      </c>
    </row>
    <row r="253">
      <c r="A253" s="11" t="inlineStr">
        <is>
          <t>V125</t>
        </is>
      </c>
      <c r="B253" s="11" t="inlineStr">
        <is>
          <t>Reserve</t>
        </is>
      </c>
      <c r="C253" s="11" t="inlineStr">
        <is>
          <t>Instagram</t>
        </is>
      </c>
      <c r="D253" s="11" t="inlineStr">
        <is>
          <t>REACH</t>
        </is>
      </c>
    </row>
    <row r="254">
      <c r="A254" s="11" t="inlineStr">
        <is>
          <t>CD-T24</t>
        </is>
      </c>
      <c r="B254" s="10" t="n">
        <v>46475</v>
      </c>
      <c r="C254" s="11" t="inlineStr">
        <is>
          <t>TikTok</t>
        </is>
      </c>
      <c r="D254" s="11" t="inlineStr">
        <is>
          <t>COUNTDOWN</t>
        </is>
      </c>
    </row>
    <row r="255">
      <c r="A255" s="11" t="inlineStr">
        <is>
          <t>CD-T24</t>
        </is>
      </c>
      <c r="B255" s="10" t="n">
        <v>46475</v>
      </c>
      <c r="C255" s="11" t="inlineStr">
        <is>
          <t>Instagram</t>
        </is>
      </c>
      <c r="D255" s="11" t="inlineStr">
        <is>
          <t>COUNTDOWN</t>
        </is>
      </c>
    </row>
    <row r="256">
      <c r="A256" s="11" t="inlineStr">
        <is>
          <t>CD-T23</t>
        </is>
      </c>
      <c r="B256" s="10" t="n">
        <v>46476</v>
      </c>
      <c r="C256" s="11" t="inlineStr">
        <is>
          <t>TikTok</t>
        </is>
      </c>
      <c r="D256" s="11" t="inlineStr">
        <is>
          <t>COUNTDOWN</t>
        </is>
      </c>
    </row>
    <row r="257">
      <c r="A257" s="11" t="inlineStr">
        <is>
          <t>CD-T23</t>
        </is>
      </c>
      <c r="B257" s="10" t="n">
        <v>46476</v>
      </c>
      <c r="C257" s="11" t="inlineStr">
        <is>
          <t>Instagram</t>
        </is>
      </c>
      <c r="D257" s="11" t="inlineStr">
        <is>
          <t>COUNTDOWN</t>
        </is>
      </c>
    </row>
    <row r="258">
      <c r="A258" s="11" t="inlineStr">
        <is>
          <t>CD-T22</t>
        </is>
      </c>
      <c r="B258" s="10" t="n">
        <v>46477</v>
      </c>
      <c r="C258" s="11" t="inlineStr">
        <is>
          <t>TikTok</t>
        </is>
      </c>
      <c r="D258" s="11" t="inlineStr">
        <is>
          <t>COUNTDOWN</t>
        </is>
      </c>
    </row>
    <row r="259">
      <c r="A259" s="11" t="inlineStr">
        <is>
          <t>CD-T22</t>
        </is>
      </c>
      <c r="B259" s="10" t="n">
        <v>46477</v>
      </c>
      <c r="C259" s="11" t="inlineStr">
        <is>
          <t>Instagram</t>
        </is>
      </c>
      <c r="D259" s="11" t="inlineStr">
        <is>
          <t>COUNTDOWN</t>
        </is>
      </c>
    </row>
    <row r="260">
      <c r="A260" s="11" t="inlineStr">
        <is>
          <t>CD-T21</t>
        </is>
      </c>
      <c r="B260" s="10" t="n">
        <v>46478</v>
      </c>
      <c r="C260" s="11" t="inlineStr">
        <is>
          <t>TikTok</t>
        </is>
      </c>
      <c r="D260" s="11" t="inlineStr">
        <is>
          <t>COUNTDOWN</t>
        </is>
      </c>
    </row>
    <row r="261">
      <c r="A261" s="11" t="inlineStr">
        <is>
          <t>CD-T21</t>
        </is>
      </c>
      <c r="B261" s="10" t="n">
        <v>46478</v>
      </c>
      <c r="C261" s="11" t="inlineStr">
        <is>
          <t>Instagram</t>
        </is>
      </c>
      <c r="D261" s="11" t="inlineStr">
        <is>
          <t>COUNTDOWN</t>
        </is>
      </c>
    </row>
    <row r="262">
      <c r="A262" s="11" t="inlineStr">
        <is>
          <t>CD-T20</t>
        </is>
      </c>
      <c r="B262" s="10" t="n">
        <v>46479</v>
      </c>
      <c r="C262" s="11" t="inlineStr">
        <is>
          <t>TikTok</t>
        </is>
      </c>
      <c r="D262" s="11" t="inlineStr">
        <is>
          <t>COUNTDOWN</t>
        </is>
      </c>
    </row>
    <row r="263">
      <c r="A263" s="11" t="inlineStr">
        <is>
          <t>CD-T20</t>
        </is>
      </c>
      <c r="B263" s="10" t="n">
        <v>46479</v>
      </c>
      <c r="C263" s="11" t="inlineStr">
        <is>
          <t>Instagram</t>
        </is>
      </c>
      <c r="D263" s="11" t="inlineStr">
        <is>
          <t>COUNTDOWN</t>
        </is>
      </c>
    </row>
    <row r="264">
      <c r="A264" s="11" t="inlineStr">
        <is>
          <t>CD-T19</t>
        </is>
      </c>
      <c r="B264" s="10" t="n">
        <v>46480</v>
      </c>
      <c r="C264" s="11" t="inlineStr">
        <is>
          <t>TikTok</t>
        </is>
      </c>
      <c r="D264" s="11" t="inlineStr">
        <is>
          <t>COUNTDOWN</t>
        </is>
      </c>
    </row>
    <row r="265">
      <c r="A265" s="11" t="inlineStr">
        <is>
          <t>CD-T19</t>
        </is>
      </c>
      <c r="B265" s="10" t="n">
        <v>46480</v>
      </c>
      <c r="C265" s="11" t="inlineStr">
        <is>
          <t>Instagram</t>
        </is>
      </c>
      <c r="D265" s="11" t="inlineStr">
        <is>
          <t>COUNTDOWN</t>
        </is>
      </c>
    </row>
    <row r="266">
      <c r="A266" s="11" t="inlineStr">
        <is>
          <t>CD-T18</t>
        </is>
      </c>
      <c r="B266" s="10" t="n">
        <v>46481</v>
      </c>
      <c r="C266" s="11" t="inlineStr">
        <is>
          <t>TikTok</t>
        </is>
      </c>
      <c r="D266" s="11" t="inlineStr">
        <is>
          <t>COUNTDOWN</t>
        </is>
      </c>
    </row>
    <row r="267">
      <c r="A267" s="11" t="inlineStr">
        <is>
          <t>CD-T18</t>
        </is>
      </c>
      <c r="B267" s="10" t="n">
        <v>46481</v>
      </c>
      <c r="C267" s="11" t="inlineStr">
        <is>
          <t>Instagram</t>
        </is>
      </c>
      <c r="D267" s="11" t="inlineStr">
        <is>
          <t>COUNTDOWN</t>
        </is>
      </c>
    </row>
    <row r="268">
      <c r="A268" s="11" t="inlineStr">
        <is>
          <t>CD-T17</t>
        </is>
      </c>
      <c r="B268" s="10" t="n">
        <v>46482</v>
      </c>
      <c r="C268" s="11" t="inlineStr">
        <is>
          <t>TikTok</t>
        </is>
      </c>
      <c r="D268" s="11" t="inlineStr">
        <is>
          <t>COUNTDOWN</t>
        </is>
      </c>
    </row>
    <row r="269">
      <c r="A269" s="11" t="inlineStr">
        <is>
          <t>CD-T17</t>
        </is>
      </c>
      <c r="B269" s="10" t="n">
        <v>46482</v>
      </c>
      <c r="C269" s="11" t="inlineStr">
        <is>
          <t>Instagram</t>
        </is>
      </c>
      <c r="D269" s="11" t="inlineStr">
        <is>
          <t>COUNTDOWN</t>
        </is>
      </c>
    </row>
    <row r="270">
      <c r="A270" s="11" t="inlineStr">
        <is>
          <t>CD-T16</t>
        </is>
      </c>
      <c r="B270" s="10" t="n">
        <v>46483</v>
      </c>
      <c r="C270" s="11" t="inlineStr">
        <is>
          <t>TikTok</t>
        </is>
      </c>
      <c r="D270" s="11" t="inlineStr">
        <is>
          <t>COUNTDOWN</t>
        </is>
      </c>
    </row>
    <row r="271">
      <c r="A271" s="11" t="inlineStr">
        <is>
          <t>CD-T16</t>
        </is>
      </c>
      <c r="B271" s="10" t="n">
        <v>46483</v>
      </c>
      <c r="C271" s="11" t="inlineStr">
        <is>
          <t>Instagram</t>
        </is>
      </c>
      <c r="D271" s="11" t="inlineStr">
        <is>
          <t>COUNTDOWN</t>
        </is>
      </c>
    </row>
    <row r="272">
      <c r="A272" s="11" t="inlineStr">
        <is>
          <t>CD-T15</t>
        </is>
      </c>
      <c r="B272" s="10" t="n">
        <v>46484</v>
      </c>
      <c r="C272" s="11" t="inlineStr">
        <is>
          <t>TikTok</t>
        </is>
      </c>
      <c r="D272" s="11" t="inlineStr">
        <is>
          <t>COUNTDOWN</t>
        </is>
      </c>
    </row>
    <row r="273">
      <c r="A273" s="11" t="inlineStr">
        <is>
          <t>CD-T15</t>
        </is>
      </c>
      <c r="B273" s="10" t="n">
        <v>46484</v>
      </c>
      <c r="C273" s="11" t="inlineStr">
        <is>
          <t>Instagram</t>
        </is>
      </c>
      <c r="D273" s="11" t="inlineStr">
        <is>
          <t>COUNTDOWN</t>
        </is>
      </c>
    </row>
    <row r="274">
      <c r="A274" s="11" t="inlineStr">
        <is>
          <t>CD-T14</t>
        </is>
      </c>
      <c r="B274" s="10" t="n">
        <v>46485</v>
      </c>
      <c r="C274" s="11" t="inlineStr">
        <is>
          <t>TikTok</t>
        </is>
      </c>
      <c r="D274" s="11" t="inlineStr">
        <is>
          <t>COUNTDOWN</t>
        </is>
      </c>
    </row>
    <row r="275">
      <c r="A275" s="11" t="inlineStr">
        <is>
          <t>CD-T14</t>
        </is>
      </c>
      <c r="B275" s="10" t="n">
        <v>46485</v>
      </c>
      <c r="C275" s="11" t="inlineStr">
        <is>
          <t>Instagram</t>
        </is>
      </c>
      <c r="D275" s="11" t="inlineStr">
        <is>
          <t>COUNTDOWN</t>
        </is>
      </c>
    </row>
    <row r="276">
      <c r="A276" s="11" t="inlineStr">
        <is>
          <t>CD-T13</t>
        </is>
      </c>
      <c r="B276" s="10" t="n">
        <v>46486</v>
      </c>
      <c r="C276" s="11" t="inlineStr">
        <is>
          <t>TikTok</t>
        </is>
      </c>
      <c r="D276" s="11" t="inlineStr">
        <is>
          <t>COUNTDOWN</t>
        </is>
      </c>
    </row>
    <row r="277">
      <c r="A277" s="11" t="inlineStr">
        <is>
          <t>CD-T13</t>
        </is>
      </c>
      <c r="B277" s="10" t="n">
        <v>46486</v>
      </c>
      <c r="C277" s="11" t="inlineStr">
        <is>
          <t>Instagram</t>
        </is>
      </c>
      <c r="D277" s="11" t="inlineStr">
        <is>
          <t>COUNTDOWN</t>
        </is>
      </c>
    </row>
    <row r="278">
      <c r="A278" s="11" t="inlineStr">
        <is>
          <t>CD-T12</t>
        </is>
      </c>
      <c r="B278" s="10" t="n">
        <v>46487</v>
      </c>
      <c r="C278" s="11" t="inlineStr">
        <is>
          <t>TikTok</t>
        </is>
      </c>
      <c r="D278" s="11" t="inlineStr">
        <is>
          <t>COUNTDOWN</t>
        </is>
      </c>
    </row>
    <row r="279">
      <c r="A279" s="11" t="inlineStr">
        <is>
          <t>CD-T12</t>
        </is>
      </c>
      <c r="B279" s="10" t="n">
        <v>46487</v>
      </c>
      <c r="C279" s="11" t="inlineStr">
        <is>
          <t>Instagram</t>
        </is>
      </c>
      <c r="D279" s="11" t="inlineStr">
        <is>
          <t>COUNTDOWN</t>
        </is>
      </c>
    </row>
    <row r="280">
      <c r="A280" s="11" t="inlineStr">
        <is>
          <t>CD-T11</t>
        </is>
      </c>
      <c r="B280" s="10" t="n">
        <v>46488</v>
      </c>
      <c r="C280" s="11" t="inlineStr">
        <is>
          <t>TikTok</t>
        </is>
      </c>
      <c r="D280" s="11" t="inlineStr">
        <is>
          <t>COUNTDOWN</t>
        </is>
      </c>
    </row>
    <row r="281">
      <c r="A281" s="11" t="inlineStr">
        <is>
          <t>CD-T11</t>
        </is>
      </c>
      <c r="B281" s="10" t="n">
        <v>46488</v>
      </c>
      <c r="C281" s="11" t="inlineStr">
        <is>
          <t>Instagram</t>
        </is>
      </c>
      <c r="D281" s="11" t="inlineStr">
        <is>
          <t>COUNTDOWN</t>
        </is>
      </c>
    </row>
    <row r="282">
      <c r="A282" s="11" t="inlineStr">
        <is>
          <t>CD-T10</t>
        </is>
      </c>
      <c r="B282" s="10" t="n">
        <v>46489</v>
      </c>
      <c r="C282" s="11" t="inlineStr">
        <is>
          <t>TikTok</t>
        </is>
      </c>
      <c r="D282" s="11" t="inlineStr">
        <is>
          <t>COUNTDOWN</t>
        </is>
      </c>
    </row>
    <row r="283">
      <c r="A283" s="11" t="inlineStr">
        <is>
          <t>CD-T10</t>
        </is>
      </c>
      <c r="B283" s="10" t="n">
        <v>46489</v>
      </c>
      <c r="C283" s="11" t="inlineStr">
        <is>
          <t>Instagram</t>
        </is>
      </c>
      <c r="D283" s="11" t="inlineStr">
        <is>
          <t>COUNTDOWN</t>
        </is>
      </c>
    </row>
    <row r="284">
      <c r="A284" s="11" t="inlineStr">
        <is>
          <t>CD-T09</t>
        </is>
      </c>
      <c r="B284" s="10" t="n">
        <v>46490</v>
      </c>
      <c r="C284" s="11" t="inlineStr">
        <is>
          <t>TikTok</t>
        </is>
      </c>
      <c r="D284" s="11" t="inlineStr">
        <is>
          <t>COUNTDOWN</t>
        </is>
      </c>
    </row>
    <row r="285">
      <c r="A285" s="11" t="inlineStr">
        <is>
          <t>CD-T09</t>
        </is>
      </c>
      <c r="B285" s="10" t="n">
        <v>46490</v>
      </c>
      <c r="C285" s="11" t="inlineStr">
        <is>
          <t>Instagram</t>
        </is>
      </c>
      <c r="D285" s="11" t="inlineStr">
        <is>
          <t>COUNTDOWN</t>
        </is>
      </c>
    </row>
    <row r="286">
      <c r="A286" s="11" t="inlineStr">
        <is>
          <t>CD-T08</t>
        </is>
      </c>
      <c r="B286" s="10" t="n">
        <v>46491</v>
      </c>
      <c r="C286" s="11" t="inlineStr">
        <is>
          <t>TikTok</t>
        </is>
      </c>
      <c r="D286" s="11" t="inlineStr">
        <is>
          <t>COUNTDOWN</t>
        </is>
      </c>
    </row>
    <row r="287">
      <c r="A287" s="11" t="inlineStr">
        <is>
          <t>CD-T08</t>
        </is>
      </c>
      <c r="B287" s="10" t="n">
        <v>46491</v>
      </c>
      <c r="C287" s="11" t="inlineStr">
        <is>
          <t>Instagram</t>
        </is>
      </c>
      <c r="D287" s="11" t="inlineStr">
        <is>
          <t>COUNTDOWN</t>
        </is>
      </c>
    </row>
    <row r="288">
      <c r="A288" s="11" t="inlineStr">
        <is>
          <t>CD-T07</t>
        </is>
      </c>
      <c r="B288" s="10" t="n">
        <v>46492</v>
      </c>
      <c r="C288" s="11" t="inlineStr">
        <is>
          <t>TikTok</t>
        </is>
      </c>
      <c r="D288" s="11" t="inlineStr">
        <is>
          <t>COUNTDOWN</t>
        </is>
      </c>
    </row>
    <row r="289">
      <c r="A289" s="11" t="inlineStr">
        <is>
          <t>CD-T07</t>
        </is>
      </c>
      <c r="B289" s="10" t="n">
        <v>46492</v>
      </c>
      <c r="C289" s="11" t="inlineStr">
        <is>
          <t>Instagram</t>
        </is>
      </c>
      <c r="D289" s="11" t="inlineStr">
        <is>
          <t>COUNTDOWN</t>
        </is>
      </c>
    </row>
    <row r="290">
      <c r="A290" s="11" t="inlineStr">
        <is>
          <t>CD-T06</t>
        </is>
      </c>
      <c r="B290" s="10" t="n">
        <v>46493</v>
      </c>
      <c r="C290" s="11" t="inlineStr">
        <is>
          <t>TikTok</t>
        </is>
      </c>
      <c r="D290" s="11" t="inlineStr">
        <is>
          <t>COUNTDOWN</t>
        </is>
      </c>
    </row>
    <row r="291">
      <c r="A291" s="11" t="inlineStr">
        <is>
          <t>CD-T06</t>
        </is>
      </c>
      <c r="B291" s="10" t="n">
        <v>46493</v>
      </c>
      <c r="C291" s="11" t="inlineStr">
        <is>
          <t>Instagram</t>
        </is>
      </c>
      <c r="D291" s="11" t="inlineStr">
        <is>
          <t>COUNTDOWN</t>
        </is>
      </c>
    </row>
    <row r="292">
      <c r="A292" s="11" t="inlineStr">
        <is>
          <t>CD-T05</t>
        </is>
      </c>
      <c r="B292" s="10" t="n">
        <v>46494</v>
      </c>
      <c r="C292" s="11" t="inlineStr">
        <is>
          <t>TikTok</t>
        </is>
      </c>
      <c r="D292" s="11" t="inlineStr">
        <is>
          <t>COUNTDOWN</t>
        </is>
      </c>
    </row>
    <row r="293">
      <c r="A293" s="11" t="inlineStr">
        <is>
          <t>CD-T05</t>
        </is>
      </c>
      <c r="B293" s="10" t="n">
        <v>46494</v>
      </c>
      <c r="C293" s="11" t="inlineStr">
        <is>
          <t>Instagram</t>
        </is>
      </c>
      <c r="D293" s="11" t="inlineStr">
        <is>
          <t>COUNTDOWN</t>
        </is>
      </c>
    </row>
    <row r="294">
      <c r="A294" s="11" t="inlineStr">
        <is>
          <t>CD-T04</t>
        </is>
      </c>
      <c r="B294" s="10" t="n">
        <v>46495</v>
      </c>
      <c r="C294" s="11" t="inlineStr">
        <is>
          <t>TikTok</t>
        </is>
      </c>
      <c r="D294" s="11" t="inlineStr">
        <is>
          <t>COUNTDOWN</t>
        </is>
      </c>
    </row>
    <row r="295">
      <c r="A295" s="11" t="inlineStr">
        <is>
          <t>CD-T04</t>
        </is>
      </c>
      <c r="B295" s="10" t="n">
        <v>46495</v>
      </c>
      <c r="C295" s="11" t="inlineStr">
        <is>
          <t>Instagram</t>
        </is>
      </c>
      <c r="D295" s="11" t="inlineStr">
        <is>
          <t>COUNTDOWN</t>
        </is>
      </c>
    </row>
    <row r="296">
      <c r="A296" s="11" t="inlineStr">
        <is>
          <t>CD-T03</t>
        </is>
      </c>
      <c r="B296" s="10" t="n">
        <v>46496</v>
      </c>
      <c r="C296" s="11" t="inlineStr">
        <is>
          <t>TikTok</t>
        </is>
      </c>
      <c r="D296" s="11" t="inlineStr">
        <is>
          <t>COUNTDOWN</t>
        </is>
      </c>
    </row>
    <row r="297">
      <c r="A297" s="11" t="inlineStr">
        <is>
          <t>CD-T03</t>
        </is>
      </c>
      <c r="B297" s="10" t="n">
        <v>46496</v>
      </c>
      <c r="C297" s="11" t="inlineStr">
        <is>
          <t>Instagram</t>
        </is>
      </c>
      <c r="D297" s="11" t="inlineStr">
        <is>
          <t>COUNTDOWN</t>
        </is>
      </c>
    </row>
    <row r="298">
      <c r="A298" s="11" t="inlineStr">
        <is>
          <t>CD-T02</t>
        </is>
      </c>
      <c r="B298" s="10" t="n">
        <v>46497</v>
      </c>
      <c r="C298" s="11" t="inlineStr">
        <is>
          <t>TikTok</t>
        </is>
      </c>
      <c r="D298" s="11" t="inlineStr">
        <is>
          <t>COUNTDOWN</t>
        </is>
      </c>
    </row>
    <row r="299">
      <c r="A299" s="11" t="inlineStr">
        <is>
          <t>CD-T02</t>
        </is>
      </c>
      <c r="B299" s="10" t="n">
        <v>46497</v>
      </c>
      <c r="C299" s="11" t="inlineStr">
        <is>
          <t>Instagram</t>
        </is>
      </c>
      <c r="D299" s="11" t="inlineStr">
        <is>
          <t>COUNTDOWN</t>
        </is>
      </c>
    </row>
    <row r="300">
      <c r="A300" s="11" t="inlineStr">
        <is>
          <t>CD-T01</t>
        </is>
      </c>
      <c r="B300" s="10" t="n">
        <v>46498</v>
      </c>
      <c r="C300" s="11" t="inlineStr">
        <is>
          <t>TikTok</t>
        </is>
      </c>
      <c r="D300" s="11" t="inlineStr">
        <is>
          <t>COUNTDOWN</t>
        </is>
      </c>
    </row>
    <row r="301">
      <c r="A301" s="11" t="inlineStr">
        <is>
          <t>CD-T01</t>
        </is>
      </c>
      <c r="B301" s="10" t="n">
        <v>46498</v>
      </c>
      <c r="C301" s="11" t="inlineStr">
        <is>
          <t>Instagram</t>
        </is>
      </c>
      <c r="D301" s="11" t="inlineStr">
        <is>
          <t>COUNTDOWN</t>
        </is>
      </c>
    </row>
  </sheetData>
  <dataValidations count="1">
    <dataValidation sqref="E4:E302" showDropDown="0" showInputMessage="0" showErrorMessage="0" allowBlank="1" type="list">
      <formula1>"A,B"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A2E4A"/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2" customWidth="1" min="4" max="4"/>
    <col width="11" customWidth="1" min="5" max="5"/>
    <col width="16" customWidth="1" min="6" max="6"/>
    <col width="3" customWidth="1" min="7" max="7"/>
    <col width="24" customWidth="1" min="8" max="8"/>
    <col width="8" customWidth="1" min="9" max="9"/>
    <col width="34" customWidth="1" min="10" max="10"/>
    <col width="13" customWidth="1" min="11" max="11"/>
    <col width="16" customWidth="1" min="13" max="13"/>
  </cols>
  <sheetData>
    <row r="1">
      <c r="A1" s="6" t="inlineStr">
        <is>
          <t>Die ersten 35 · Zusagen und Vielleicht</t>
        </is>
      </c>
    </row>
    <row r="2">
      <c r="A2" s="7" t="inlineStr">
        <is>
          <t>Jedes Gate zählt nur „Zusage“: Name, Größe und der Satz „ich bestelle am 14.01.“. „Vielleicht“ zählt nie.</t>
        </is>
      </c>
    </row>
    <row r="3" ht="32" customHeight="1">
      <c r="A3" s="9" t="inlineStr">
        <is>
          <t>Nr</t>
        </is>
      </c>
      <c r="B3" s="9" t="inlineStr">
        <is>
          <t>Zusage: Name</t>
        </is>
      </c>
      <c r="C3" s="9" t="inlineStr">
        <is>
          <t>Größe</t>
        </is>
      </c>
      <c r="D3" s="9" t="inlineStr">
        <is>
          <t>Satz gesagt?</t>
        </is>
      </c>
      <c r="E3" s="9" t="inlineStr">
        <is>
          <t>Datum</t>
        </is>
      </c>
      <c r="F3" s="9" t="inlineStr">
        <is>
          <t>Quelle</t>
        </is>
      </c>
      <c r="G3" s="21" t="inlineStr"/>
      <c r="H3" s="9" t="inlineStr">
        <is>
          <t>Vielleicht: Name</t>
        </is>
      </c>
      <c r="I3" s="9" t="inlineStr">
        <is>
          <t>Größe</t>
        </is>
      </c>
      <c r="J3" s="9" t="inlineStr">
        <is>
          <t>Was noch fehlt</t>
        </is>
      </c>
      <c r="K3" s="9" t="inlineStr">
        <is>
          <t>Nachfassen am</t>
        </is>
      </c>
      <c r="M3" s="4" t="inlineStr">
        <is>
          <t>Zusagen gezählt</t>
        </is>
      </c>
    </row>
    <row r="4">
      <c r="A4" s="11" t="n">
        <v>1</v>
      </c>
      <c r="M4" s="22">
        <f>COUNTIFS(B4:B53,"&lt;&gt;",D4:D53,"ja")</f>
        <v/>
      </c>
    </row>
    <row r="5">
      <c r="A5" s="11" t="n">
        <v>2</v>
      </c>
    </row>
    <row r="6">
      <c r="A6" s="11" t="n">
        <v>3</v>
      </c>
    </row>
    <row r="7">
      <c r="A7" s="11" t="n">
        <v>4</v>
      </c>
    </row>
    <row r="8">
      <c r="A8" s="11" t="n">
        <v>5</v>
      </c>
    </row>
    <row r="9">
      <c r="A9" s="11" t="n">
        <v>6</v>
      </c>
    </row>
    <row r="10">
      <c r="A10" s="11" t="n">
        <v>7</v>
      </c>
    </row>
    <row r="11">
      <c r="A11" s="11" t="n">
        <v>8</v>
      </c>
    </row>
    <row r="12">
      <c r="A12" s="11" t="n">
        <v>9</v>
      </c>
    </row>
    <row r="13">
      <c r="A13" s="11" t="n">
        <v>10</v>
      </c>
    </row>
    <row r="14">
      <c r="A14" s="11" t="n">
        <v>11</v>
      </c>
    </row>
    <row r="15">
      <c r="A15" s="11" t="n">
        <v>12</v>
      </c>
    </row>
    <row r="16">
      <c r="A16" s="11" t="n">
        <v>13</v>
      </c>
    </row>
    <row r="17">
      <c r="A17" s="11" t="n">
        <v>14</v>
      </c>
    </row>
    <row r="18">
      <c r="A18" s="11" t="n">
        <v>15</v>
      </c>
    </row>
    <row r="19">
      <c r="A19" s="11" t="n">
        <v>16</v>
      </c>
    </row>
    <row r="20">
      <c r="A20" s="11" t="n">
        <v>17</v>
      </c>
    </row>
    <row r="21">
      <c r="A21" s="11" t="n">
        <v>18</v>
      </c>
    </row>
    <row r="22">
      <c r="A22" s="11" t="n">
        <v>19</v>
      </c>
    </row>
    <row r="23">
      <c r="A23" s="11" t="n">
        <v>20</v>
      </c>
    </row>
    <row r="24">
      <c r="A24" s="11" t="n">
        <v>21</v>
      </c>
    </row>
    <row r="25">
      <c r="A25" s="11" t="n">
        <v>22</v>
      </c>
    </row>
    <row r="26">
      <c r="A26" s="11" t="n">
        <v>23</v>
      </c>
    </row>
    <row r="27">
      <c r="A27" s="11" t="n">
        <v>24</v>
      </c>
    </row>
    <row r="28">
      <c r="A28" s="11" t="n">
        <v>25</v>
      </c>
    </row>
    <row r="29">
      <c r="A29" s="11" t="n">
        <v>26</v>
      </c>
    </row>
    <row r="30">
      <c r="A30" s="11" t="n">
        <v>27</v>
      </c>
    </row>
    <row r="31">
      <c r="A31" s="11" t="n">
        <v>28</v>
      </c>
    </row>
    <row r="32">
      <c r="A32" s="11" t="n">
        <v>29</v>
      </c>
    </row>
    <row r="33">
      <c r="A33" s="11" t="n">
        <v>30</v>
      </c>
    </row>
    <row r="34">
      <c r="A34" s="11" t="n">
        <v>31</v>
      </c>
    </row>
    <row r="35">
      <c r="A35" s="11" t="n">
        <v>32</v>
      </c>
    </row>
    <row r="36">
      <c r="A36" s="11" t="n">
        <v>33</v>
      </c>
    </row>
    <row r="37">
      <c r="A37" s="11" t="n">
        <v>34</v>
      </c>
    </row>
    <row r="38">
      <c r="A38" s="11" t="n">
        <v>35</v>
      </c>
    </row>
    <row r="39">
      <c r="A39" s="11" t="n">
        <v>36</v>
      </c>
    </row>
    <row r="40">
      <c r="A40" s="11" t="n">
        <v>37</v>
      </c>
    </row>
    <row r="41">
      <c r="A41" s="11" t="n">
        <v>38</v>
      </c>
    </row>
    <row r="42">
      <c r="A42" s="11" t="n">
        <v>39</v>
      </c>
    </row>
    <row r="43">
      <c r="A43" s="11" t="n">
        <v>40</v>
      </c>
    </row>
    <row r="44">
      <c r="A44" s="11" t="n">
        <v>41</v>
      </c>
    </row>
    <row r="45">
      <c r="A45" s="11" t="n">
        <v>42</v>
      </c>
    </row>
    <row r="46">
      <c r="A46" s="11" t="n">
        <v>43</v>
      </c>
    </row>
    <row r="47">
      <c r="A47" s="11" t="n">
        <v>44</v>
      </c>
    </row>
    <row r="48">
      <c r="A48" s="11" t="n">
        <v>45</v>
      </c>
    </row>
    <row r="49">
      <c r="A49" s="11" t="n">
        <v>46</v>
      </c>
    </row>
    <row r="50">
      <c r="A50" s="11" t="n">
        <v>47</v>
      </c>
    </row>
    <row r="51">
      <c r="A51" s="11" t="n">
        <v>48</v>
      </c>
    </row>
    <row r="52">
      <c r="A52" s="11" t="n">
        <v>49</v>
      </c>
    </row>
    <row r="53">
      <c r="A53" s="11" t="n">
        <v>50</v>
      </c>
    </row>
  </sheetData>
  <dataValidations count="3">
    <dataValidation sqref="C4:C53" showDropDown="0" showInputMessage="0" showErrorMessage="0" allowBlank="1" type="list">
      <formula1>"W30,W32,W34,W36,W38,kleiner,größer"</formula1>
    </dataValidation>
    <dataValidation sqref="I4:I53" showDropDown="0" showInputMessage="0" showErrorMessage="0" allowBlank="1" type="list">
      <formula1>"W30,W32,W34,W36,W38,kleiner,größer"</formula1>
    </dataValidation>
    <dataValidation sqref="D4:D53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2" customWidth="1" min="4" max="4"/>
    <col width="30" customWidth="1" min="5" max="5"/>
    <col width="12" customWidth="1" min="6" max="6"/>
    <col width="12" customWidth="1" min="7" max="7"/>
    <col width="16" customWidth="1" min="8" max="8"/>
    <col width="40" customWidth="1" min="9" max="9"/>
  </cols>
  <sheetData>
    <row r="1">
      <c r="A1" s="6" t="inlineStr">
        <is>
          <t>Netz · warmes Netz und Novalife-Bestand</t>
        </is>
      </c>
    </row>
    <row r="2">
      <c r="A2" s="7" t="inlineStr">
        <is>
          <t>Freunde, Familie, Bleach-Käufer. Keine Herkunft in diesem Blatt.</t>
        </is>
      </c>
    </row>
    <row r="3" ht="32" customHeight="1">
      <c r="A3" s="9" t="inlineStr">
        <is>
          <t>Name / Kürzel</t>
        </is>
      </c>
      <c r="B3" s="9" t="inlineStr">
        <is>
          <t>Woher kenne ich sie/ihn</t>
        </is>
      </c>
      <c r="C3" s="9" t="inlineStr">
        <is>
          <t>Kanal</t>
        </is>
      </c>
      <c r="D3" s="9" t="inlineStr">
        <is>
          <t>N1 gesendet</t>
        </is>
      </c>
      <c r="E3" s="9" t="inlineStr">
        <is>
          <t>Antwort</t>
        </is>
      </c>
      <c r="F3" s="9" t="inlineStr">
        <is>
          <t>Auf der Liste?</t>
        </is>
      </c>
      <c r="G3" s="9" t="inlineStr">
        <is>
          <t>N2 gesendet</t>
        </is>
      </c>
      <c r="H3" s="9" t="inlineStr">
        <is>
          <t>Zusage / Vielleicht</t>
        </is>
      </c>
      <c r="I3" s="9" t="inlineStr">
        <is>
          <t>Notiz</t>
        </is>
      </c>
    </row>
    <row r="4"/>
  </sheetData>
  <dataValidations count="3">
    <dataValidation sqref="C4:C400" showDropDown="0" showInputMessage="0" showErrorMessage="0" allowBlank="1" type="list">
      <formula1>"WhatsApp,Instagram,TikTok,persönlich,E-Mail"</formula1>
    </dataValidation>
    <dataValidation sqref="F4:F400" showDropDown="0" showInputMessage="0" showErrorMessage="0" allowBlank="1" type="list">
      <formula1>"ja,nein"</formula1>
    </dataValidation>
    <dataValidation sqref="H4:H400" showDropDown="0" showInputMessage="0" showErrorMessage="0" allowBlank="1" type="list">
      <formula1>"Zusage,Vielleicht,nein"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0" customWidth="1" min="10" max="10"/>
    <col width="50" customWidth="1" min="11" max="11"/>
  </cols>
  <sheetData>
    <row r="1">
      <c r="A1" s="6" t="inlineStr">
        <is>
          <t>Gespräche · Zielgruppen-Interviews</t>
        </is>
      </c>
    </row>
    <row r="2">
      <c r="A2" s="7" t="inlineStr">
        <is>
          <t>Nur Codes (G1, G2 …) mit Segment, nie Namen neben der Herkunft.</t>
        </is>
      </c>
    </row>
    <row r="3" ht="32" customHeight="1">
      <c r="A3" s="9" t="inlineStr">
        <is>
          <t>Datum</t>
        </is>
      </c>
      <c r="B3" s="9" t="inlineStr">
        <is>
          <t>Code</t>
        </is>
      </c>
      <c r="C3" s="9" t="inlineStr">
        <is>
          <t>Segment</t>
        </is>
      </c>
      <c r="D3" s="9" t="inlineStr">
        <is>
          <t>F1</t>
        </is>
      </c>
      <c r="E3" s="9" t="inlineStr">
        <is>
          <t>F2</t>
        </is>
      </c>
      <c r="F3" s="9" t="inlineStr">
        <is>
          <t>F3</t>
        </is>
      </c>
      <c r="G3" s="9" t="inlineStr">
        <is>
          <t>F4</t>
        </is>
      </c>
      <c r="H3" s="9" t="inlineStr">
        <is>
          <t>F5</t>
        </is>
      </c>
      <c r="I3" s="9" t="inlineStr">
        <is>
          <t>F6</t>
        </is>
      </c>
      <c r="J3" s="9" t="inlineStr">
        <is>
          <t>Preis-Antwort</t>
        </is>
      </c>
      <c r="K3" s="9" t="inlineStr">
        <is>
          <t>Auffällige Zitate</t>
        </is>
      </c>
    </row>
    <row r="4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26" customWidth="1" min="4" max="4"/>
    <col width="26" customWidth="1" min="5" max="5"/>
    <col width="26" customWidth="1" min="6" max="6"/>
    <col width="22" customWidth="1" min="7" max="7"/>
    <col width="10" customWidth="1" min="8" max="8"/>
    <col width="14" customWidth="1" min="9" max="9"/>
    <col width="14" customWidth="1" min="10" max="10"/>
    <col width="20" customWidth="1" min="12" max="12"/>
  </cols>
  <sheetData>
    <row r="1">
      <c r="A1" s="6" t="inlineStr">
        <is>
          <t>Schnelltest · Papiertest 3 (08.10.)</t>
        </is>
      </c>
    </row>
    <row r="2">
      <c r="A2" s="7" t="inlineStr">
        <is>
          <t>Codes P1–P10 mit Segment. Regel Serp: 0 Sowjet/Wappen-Nennungen → Rot bleibt · 1 → du entscheidest · ≥ 2 → grau · ≥ 4 → Serp nicht in dieser Größe.</t>
        </is>
      </c>
    </row>
    <row r="3" ht="32" customHeight="1">
      <c r="A3" s="9" t="inlineStr">
        <is>
          <t>Code</t>
        </is>
      </c>
      <c r="B3" s="9" t="inlineStr">
        <is>
          <t>Segment</t>
        </is>
      </c>
      <c r="C3" s="9" t="inlineStr">
        <is>
          <t>Version gezeigt</t>
        </is>
      </c>
      <c r="D3" s="9" t="inlineStr">
        <is>
          <t>F1 erste drei Wörter</t>
        </is>
      </c>
      <c r="E3" s="9" t="inlineStr">
        <is>
          <t>F2 erinnert an / Version</t>
        </is>
      </c>
      <c r="F3" s="9" t="inlineStr">
        <is>
          <t>F3 erinnert an / hochwertiger</t>
        </is>
      </c>
      <c r="G3" s="9" t="inlineStr">
        <is>
          <t>F4 Detail zuerst</t>
        </is>
      </c>
      <c r="H3" s="9" t="inlineStr">
        <is>
          <t>F5 tragen 1–5</t>
        </is>
      </c>
      <c r="I3" s="9" t="inlineStr">
        <is>
          <t>149 € vorbestellen?</t>
        </is>
      </c>
      <c r="J3" s="9" t="inlineStr">
        <is>
          <t>Sowjet/Wappen genannt?</t>
        </is>
      </c>
      <c r="L3" s="4" t="inlineStr">
        <is>
          <t>Sowjet/Wappen gezählt</t>
        </is>
      </c>
    </row>
    <row r="4">
      <c r="A4" s="11" t="inlineStr">
        <is>
          <t>P1</t>
        </is>
      </c>
      <c r="L4" s="22">
        <f>COUNTIF(J4:J13,"ja")</f>
        <v/>
      </c>
    </row>
    <row r="5">
      <c r="A5" s="11" t="inlineStr">
        <is>
          <t>P2</t>
        </is>
      </c>
    </row>
    <row r="6">
      <c r="A6" s="11" t="inlineStr">
        <is>
          <t>P3</t>
        </is>
      </c>
    </row>
    <row r="7">
      <c r="A7" s="11" t="inlineStr">
        <is>
          <t>P4</t>
        </is>
      </c>
    </row>
    <row r="8">
      <c r="A8" s="11" t="inlineStr">
        <is>
          <t>P5</t>
        </is>
      </c>
    </row>
    <row r="9">
      <c r="A9" s="11" t="inlineStr">
        <is>
          <t>P6</t>
        </is>
      </c>
    </row>
    <row r="10">
      <c r="A10" s="11" t="inlineStr">
        <is>
          <t>P7</t>
        </is>
      </c>
    </row>
    <row r="11">
      <c r="A11" s="11" t="inlineStr">
        <is>
          <t>P8</t>
        </is>
      </c>
    </row>
    <row r="12">
      <c r="A12" s="11" t="inlineStr">
        <is>
          <t>P9</t>
        </is>
      </c>
    </row>
    <row r="13">
      <c r="A13" s="11" t="inlineStr">
        <is>
          <t>P10</t>
        </is>
      </c>
    </row>
  </sheetData>
  <dataValidations count="2">
    <dataValidation sqref="I4:I13" showDropDown="0" showInputMessage="0" showErrorMessage="0" allowBlank="1" type="list">
      <formula1>"ja,vielleicht,nein"</formula1>
    </dataValidation>
    <dataValidation sqref="J4:J13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26" customWidth="1" min="3" max="3"/>
    <col width="26" customWidth="1" min="4" max="4"/>
    <col width="22" customWidth="1" min="5" max="5"/>
    <col width="11" customWidth="1" min="6" max="6"/>
    <col width="12" customWidth="1" min="7" max="7"/>
    <col width="8" customWidth="1" min="8" max="8"/>
    <col width="9" customWidth="1" min="9" max="9"/>
    <col width="11" customWidth="1" min="10" max="10"/>
    <col width="22" customWidth="1" min="11" max="11"/>
    <col width="12" customWidth="1" min="12" max="12"/>
    <col width="12" customWidth="1" min="13" max="13"/>
    <col width="8" customWidth="1" min="14" max="14"/>
    <col width="11" customWidth="1" min="15" max="15"/>
    <col width="12" customWidth="1" min="16" max="16"/>
    <col width="11" customWidth="1" min="17" max="17"/>
    <col width="10" customWidth="1" min="18" max="18"/>
    <col width="12" customWidth="1" min="19" max="19"/>
    <col width="9" customWidth="1" min="20" max="20"/>
    <col width="40" customWidth="1" min="21" max="21"/>
  </cols>
  <sheetData>
    <row r="1">
      <c r="A1" s="6" t="inlineStr">
        <is>
          <t>Fabriken · Anfragen und Vergleich</t>
        </is>
      </c>
    </row>
    <row r="2">
      <c r="A2" s="7" t="inlineStr">
        <is>
          <t>Nur offizielle Websites. Kontaktweg genau so, wie er auf der Website steht. Punkte nach dem Raster im Docket (Referenz „Fabriken und Lieferanten“ 1.6).</t>
        </is>
      </c>
    </row>
    <row r="3" ht="32" customHeight="1">
      <c r="A3" s="9" t="inlineStr">
        <is>
          <t>Name</t>
        </is>
      </c>
      <c r="B3" s="9" t="inlineStr">
        <is>
          <t>Land</t>
        </is>
      </c>
      <c r="C3" s="9" t="inlineStr">
        <is>
          <t>Website</t>
        </is>
      </c>
      <c r="D3" s="9" t="inlineStr">
        <is>
          <t>Kontaktweg</t>
        </is>
      </c>
      <c r="E3" s="9" t="inlineStr">
        <is>
          <t>Quelle</t>
        </is>
      </c>
      <c r="F3" s="9" t="inlineStr">
        <is>
          <t>geprüft am</t>
        </is>
      </c>
      <c r="G3" s="9" t="inlineStr">
        <is>
          <t>Eigene Fabrik</t>
        </is>
      </c>
      <c r="H3" s="9" t="inlineStr">
        <is>
          <t>Punkte</t>
        </is>
      </c>
      <c r="I3" s="9" t="inlineStr">
        <is>
          <t>MOQ ≤ 75</t>
        </is>
      </c>
      <c r="J3" s="9" t="inlineStr">
        <is>
          <t>gesendet</t>
        </is>
      </c>
      <c r="K3" s="9" t="inlineStr">
        <is>
          <t>Antwort</t>
        </is>
      </c>
      <c r="L3" s="9" t="inlineStr">
        <is>
          <t>Stickerei im Haus</t>
        </is>
      </c>
      <c r="M3" s="9" t="inlineStr">
        <is>
          <t>Panel-Stickerei</t>
        </is>
      </c>
      <c r="N3" s="9" t="inlineStr">
        <is>
          <t>MOQ</t>
        </is>
      </c>
      <c r="O3" s="9" t="inlineStr">
        <is>
          <t>Preis Basis €</t>
        </is>
      </c>
      <c r="P3" s="9" t="inlineStr">
        <is>
          <t>Preis / 1.000 Stiche €</t>
        </is>
      </c>
      <c r="Q3" s="9" t="inlineStr">
        <is>
          <t>Sample-Preis €</t>
        </is>
      </c>
      <c r="R3" s="9" t="inlineStr">
        <is>
          <t>Zahlung</t>
        </is>
      </c>
      <c r="S3" s="9" t="inlineStr">
        <is>
          <t>Lieferzeit</t>
        </is>
      </c>
      <c r="T3" s="9" t="inlineStr">
        <is>
          <t>DAP/DDP</t>
        </is>
      </c>
      <c r="U3" s="9" t="inlineStr">
        <is>
          <t>Notizen</t>
        </is>
      </c>
    </row>
    <row r="4"/>
  </sheetData>
  <dataValidations count="6">
    <dataValidation sqref="B4:B400" showDropDown="0" showInputMessage="0" showErrorMessage="0" allowBlank="1" type="list">
      <formula1>"TR,PT,andere"</formula1>
    </dataValidation>
    <dataValidation sqref="G4:G400" showDropDown="0" showInputMessage="0" showErrorMessage="0" allowBlank="1" type="list">
      <formula1>"ja,Vermittler,unklar"</formula1>
    </dataValidation>
    <dataValidation sqref="I4:I400" showDropDown="0" showInputMessage="0" showErrorMessage="0" allowBlank="1" type="list">
      <formula1>"ja,nein"</formula1>
    </dataValidation>
    <dataValidation sqref="L4:L400" showDropDown="0" showInputMessage="0" showErrorMessage="0" allowBlank="1" type="list">
      <formula1>"ja,nein,unklar"</formula1>
    </dataValidation>
    <dataValidation sqref="M4:M400" showDropDown="0" showInputMessage="0" showErrorMessage="0" allowBlank="1" type="list">
      <formula1>"ja,nein,unklar"</formula1>
    </dataValidation>
    <dataValidation sqref="T4:T400" showDropDown="0" showInputMessage="0" showErrorMessage="0" allowBlank="1" type="list">
      <formula1>"DAP,DDP"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26" customWidth="1" min="4" max="4"/>
    <col width="12" customWidth="1" min="5" max="5"/>
    <col width="9" customWidth="1" min="6" max="6"/>
    <col width="10" customWidth="1" min="7" max="7"/>
    <col width="18" customWidth="1" min="8" max="8"/>
    <col width="12" customWidth="1" min="9" max="9"/>
    <col width="12" customWidth="1" min="10" max="10"/>
    <col width="40" customWidth="1" min="11" max="11"/>
  </cols>
  <sheetData>
    <row r="1">
      <c r="A1" s="6" t="inlineStr">
        <is>
          <t>Berliner Sticker · Zipper und Polo (MOQ 1)</t>
        </is>
      </c>
    </row>
    <row r="2">
      <c r="A2" s="7" t="inlineStr">
        <is>
          <t>Pflichtfragen: Fleece 330–350 g/m² mit Topping? Piqué? Externe DST/EMB? Preis bei 1 / 10 / 50?</t>
        </is>
      </c>
    </row>
    <row r="3" ht="32" customHeight="1">
      <c r="A3" s="9" t="inlineStr">
        <is>
          <t>Name</t>
        </is>
      </c>
      <c r="B3" s="9" t="inlineStr">
        <is>
          <t>Website</t>
        </is>
      </c>
      <c r="C3" s="9" t="inlineStr">
        <is>
          <t>Bezirk</t>
        </is>
      </c>
      <c r="D3" s="9" t="inlineStr">
        <is>
          <t>Kontaktweg (URL)</t>
        </is>
      </c>
      <c r="E3" s="9" t="inlineStr">
        <is>
          <t>Fotos auf Fleece</t>
        </is>
      </c>
      <c r="F3" s="9" t="inlineStr">
        <is>
          <t>Piqué</t>
        </is>
      </c>
      <c r="G3" s="9" t="inlineStr">
        <is>
          <t>ab 1 Stück</t>
        </is>
      </c>
      <c r="H3" s="9" t="inlineStr">
        <is>
          <t>Preis 1 / 10 / 50</t>
        </is>
      </c>
      <c r="I3" s="9" t="inlineStr">
        <is>
          <t>Lieferzeit</t>
        </is>
      </c>
      <c r="J3" s="9" t="inlineStr">
        <is>
          <t>Musterteil</t>
        </is>
      </c>
      <c r="K3" s="9" t="inlineStr">
        <is>
          <t>Notiz</t>
        </is>
      </c>
    </row>
    <row r="4"/>
  </sheetData>
  <dataValidations count="3">
    <dataValidation sqref="E4:E400" showDropDown="0" showInputMessage="0" showErrorMessage="0" allowBlank="1" type="list">
      <formula1>"ja,nein,unklar"</formula1>
    </dataValidation>
    <dataValidation sqref="F4:F400" showDropDown="0" showInputMessage="0" showErrorMessage="0" allowBlank="1" type="list">
      <formula1>"ja,nein,unklar"</formula1>
    </dataValidation>
    <dataValidation sqref="G4:G400" showDropDown="0" showInputMessage="0" showErrorMessage="0" allowBlank="1" type="list">
      <formula1>"ja,nein,unklar"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26" customWidth="1" min="4" max="4"/>
    <col width="12" customWidth="1" min="5" max="5"/>
    <col width="8" customWidth="1" min="6" max="6"/>
    <col width="12" customWidth="1" min="7" max="7"/>
    <col width="12" customWidth="1" min="8" max="8"/>
    <col width="12" customWidth="1" min="9" max="9"/>
    <col width="40" customWidth="1" min="10" max="10"/>
  </cols>
  <sheetData>
    <row r="1">
      <c r="A1" s="6" t="inlineStr">
        <is>
          <t>Patches · Label-Patch D und Chenille</t>
        </is>
      </c>
    </row>
    <row r="2">
      <c r="A2" s="7" t="inlineStr">
        <is>
          <t>Budget: Muster 80 €, Serie ~330 € (Schätzung). Chenille-Muster 120 € nur, falls am 19.12. gewählt. Waschtest 3× 60 °C.</t>
        </is>
      </c>
    </row>
    <row r="3" ht="32" customHeight="1">
      <c r="A3" s="9" t="inlineStr">
        <is>
          <t>Anbieter</t>
        </is>
      </c>
      <c r="B3" s="9" t="inlineStr">
        <is>
          <t>Art</t>
        </is>
      </c>
      <c r="C3" s="9" t="inlineStr">
        <is>
          <t>Website</t>
        </is>
      </c>
      <c r="D3" s="9" t="inlineStr">
        <is>
          <t>Kontaktweg</t>
        </is>
      </c>
      <c r="E3" s="9" t="inlineStr">
        <is>
          <t>angefragt am</t>
        </is>
      </c>
      <c r="F3" s="9" t="inlineStr">
        <is>
          <t>MOQ</t>
        </is>
      </c>
      <c r="G3" s="9" t="inlineStr">
        <is>
          <t>Preis Muster €</t>
        </is>
      </c>
      <c r="H3" s="9" t="inlineStr">
        <is>
          <t>Preis Serie €</t>
        </is>
      </c>
      <c r="I3" s="9" t="inlineStr">
        <is>
          <t>Waschtest</t>
        </is>
      </c>
      <c r="J3" s="9" t="inlineStr">
        <is>
          <t>Notiz</t>
        </is>
      </c>
    </row>
    <row r="4"/>
  </sheetData>
  <dataValidations count="2">
    <dataValidation sqref="B4:B400" showDropDown="0" showInputMessage="0" showErrorMessage="0" allowBlank="1" type="list">
      <formula1>"Stickpatch D,Chenille"</formula1>
    </dataValidation>
    <dataValidation sqref="I4:I400" showDropDown="0" showInputMessage="0" showErrorMessage="0" allowBlank="1" type="list">
      <formula1>"bestanden,durchgefallen,offen"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22" customWidth="1" min="5" max="5"/>
    <col width="12" customWidth="1" min="6" max="6"/>
    <col width="11" customWidth="1" min="7" max="7"/>
    <col width="11" customWidth="1" min="8" max="8"/>
    <col width="11" customWidth="1" min="9" max="9"/>
    <col width="20" customWidth="1" min="10" max="10"/>
    <col width="9" customWidth="1" min="11" max="11"/>
    <col width="14" customWidth="1" min="12" max="12"/>
    <col width="11" customWidth="1" min="13" max="13"/>
    <col width="11" customWidth="1" min="14" max="14"/>
    <col width="11" customWidth="1" min="15" max="15"/>
    <col width="30" customWidth="1" min="16" max="16"/>
  </cols>
  <sheetData>
    <row r="1">
      <c r="A1" s="6" t="inlineStr">
        <is>
          <t>Creator · Longlist, Shortlist, Abmachung</t>
        </is>
      </c>
    </row>
    <row r="2">
      <c r="A2" s="7" t="inlineStr">
        <is>
          <t>Kriterien: Berlin oder deutschsprachig, 5.000–80.000 Follower, eigene Jeans-Outfits, keine Politik. Geschenktes Paar = als Anzeige kennzeichnen.</t>
        </is>
      </c>
    </row>
    <row r="3" ht="32" customHeight="1">
      <c r="A3" s="9" t="inlineStr">
        <is>
          <t>Handle</t>
        </is>
      </c>
      <c r="B3" s="9" t="inlineStr">
        <is>
          <t>Plattform</t>
        </is>
      </c>
      <c r="C3" s="9" t="inlineStr">
        <is>
          <t>Ort</t>
        </is>
      </c>
      <c r="D3" s="9" t="inlineStr">
        <is>
          <t>Follower ca.</t>
        </is>
      </c>
      <c r="E3" s="9" t="inlineStr">
        <is>
          <t>Stil in 3 Wörtern</t>
        </is>
      </c>
      <c r="F3" s="9" t="inlineStr">
        <is>
          <t>Größe (falls sichtbar)</t>
        </is>
      </c>
      <c r="G3" s="9" t="inlineStr">
        <is>
          <t>Brand-Safety ok</t>
        </is>
      </c>
      <c r="H3" s="9" t="inlineStr">
        <is>
          <t>Liste</t>
        </is>
      </c>
      <c r="I3" s="9" t="inlineStr">
        <is>
          <t>DM C2 am</t>
        </is>
      </c>
      <c r="J3" s="9" t="inlineStr">
        <is>
          <t>Antwort</t>
        </is>
      </c>
      <c r="K3" s="9" t="inlineStr">
        <is>
          <t>Zusage</t>
        </is>
      </c>
      <c r="L3" s="9" t="inlineStr">
        <is>
          <t>Ref-Code</t>
        </is>
      </c>
      <c r="M3" s="9" t="inlineStr">
        <is>
          <t>Clip bis 15.01.</t>
        </is>
      </c>
      <c r="N3" s="9" t="inlineStr">
        <is>
          <t>Story 17.–21.04.</t>
        </is>
      </c>
      <c r="O3" s="9" t="inlineStr">
        <is>
          <t>Anmeldungen</t>
        </is>
      </c>
      <c r="P3" s="9" t="inlineStr">
        <is>
          <t>Notiz</t>
        </is>
      </c>
    </row>
    <row r="4"/>
  </sheetData>
  <dataValidations count="6">
    <dataValidation sqref="B4:B400" showDropDown="0" showInputMessage="0" showErrorMessage="0" allowBlank="1" type="list">
      <formula1>"TikTok,Instagram,YouTube"</formula1>
    </dataValidation>
    <dataValidation sqref="G4:G400" showDropDown="0" showInputMessage="0" showErrorMessage="0" allowBlank="1" type="list">
      <formula1>"ja,nein"</formula1>
    </dataValidation>
    <dataValidation sqref="H4:H400" showDropDown="0" showInputMessage="0" showErrorMessage="0" allowBlank="1" type="list">
      <formula1>"Longlist,Shortlist,Top 8,Nano"</formula1>
    </dataValidation>
    <dataValidation sqref="K4:K400" showDropDown="0" showInputMessage="0" showErrorMessage="0" allowBlank="1" type="list">
      <formula1>"ja,nein"</formula1>
    </dataValidation>
    <dataValidation sqref="M4:M400" showDropDown="0" showInputMessage="0" showErrorMessage="0" allowBlank="1" type="list">
      <formula1>"ja,nein"</formula1>
    </dataValidation>
    <dataValidation sqref="N4:N400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28" customWidth="1" min="4" max="4"/>
    <col width="30" customWidth="1" min="5" max="5"/>
    <col width="34" customWidth="1" min="6" max="6"/>
    <col width="8" customWidth="1" min="7" max="7"/>
    <col width="11" customWidth="1" min="8" max="8"/>
    <col width="11" customWidth="1" min="9" max="9"/>
    <col width="20" customWidth="1" min="10" max="10"/>
    <col width="24" customWidth="1" min="11" max="11"/>
    <col width="30" customWidth="1" min="12" max="12"/>
  </cols>
  <sheetData>
    <row r="1">
      <c r="A1" s="6" t="inlineStr">
        <is>
          <t>Presse · Medien und Wellen</t>
        </is>
      </c>
    </row>
    <row r="2">
      <c r="A2" s="7" t="inlineStr">
        <is>
          <t>Kontakt nur aus Impressum oder offizieller Seite. Einmal nachfassen, nie öfter.</t>
        </is>
      </c>
    </row>
    <row r="3" ht="32" customHeight="1">
      <c r="A3" s="9" t="inlineStr">
        <is>
          <t>Medium</t>
        </is>
      </c>
      <c r="B3" s="9" t="inlineStr">
        <is>
          <t>Ressort</t>
        </is>
      </c>
      <c r="C3" s="9" t="inlineStr">
        <is>
          <t>Autor</t>
        </is>
      </c>
      <c r="D3" s="9" t="inlineStr">
        <is>
          <t>Kontakt (URL der Quelle)</t>
        </is>
      </c>
      <c r="E3" s="9" t="inlineStr">
        <is>
          <t>3 Artikel (Links)</t>
        </is>
      </c>
      <c r="F3" s="9" t="inlineStr">
        <is>
          <t>Aufhänger in einem Satz</t>
        </is>
      </c>
      <c r="G3" s="9" t="inlineStr">
        <is>
          <t>Welle</t>
        </is>
      </c>
      <c r="H3" s="9" t="inlineStr">
        <is>
          <t>gesendet</t>
        </is>
      </c>
      <c r="I3" s="9" t="inlineStr">
        <is>
          <t>nachgefasst</t>
        </is>
      </c>
      <c r="J3" s="9" t="inlineStr">
        <is>
          <t>Antwort</t>
        </is>
      </c>
      <c r="K3" s="9" t="inlineStr">
        <is>
          <t>Artikel</t>
        </is>
      </c>
      <c r="L3" s="9" t="inlineStr">
        <is>
          <t>Notiz</t>
        </is>
      </c>
    </row>
    <row r="4"/>
  </sheetData>
  <dataValidations count="1">
    <dataValidation sqref="G4:G400" showDropDown="0" showInputMessage="0" showErrorMessage="0" allowBlank="1" type="list">
      <formula1>"1,2,3,Event-Tipp"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1" customWidth="1" min="4" max="4"/>
    <col width="26" customWidth="1" min="5" max="5"/>
    <col width="14" customWidth="1" min="6" max="6"/>
    <col width="26" customWidth="1" min="7" max="7"/>
    <col width="12" customWidth="1" min="8" max="8"/>
    <col width="30" customWidth="1" min="9" max="9"/>
  </cols>
  <sheetData>
    <row r="1">
      <c r="A1" s="6" t="inlineStr">
        <is>
          <t>Orte · Läden und Räume für Abende</t>
        </is>
      </c>
    </row>
    <row r="2">
      <c r="A2" s="7" t="inlineStr">
        <is>
          <t>Schriftliche Voranfrage, dann mit Proto fest anfragen.</t>
        </is>
      </c>
    </row>
    <row r="3" ht="32" customHeight="1">
      <c r="A3" s="9" t="inlineStr">
        <is>
          <t>Ort</t>
        </is>
      </c>
      <c r="B3" s="9" t="inlineStr">
        <is>
          <t>Adresse</t>
        </is>
      </c>
      <c r="C3" s="9" t="inlineStr">
        <is>
          <t>Kanal</t>
        </is>
      </c>
      <c r="D3" s="9" t="inlineStr">
        <is>
          <t>gesendet am</t>
        </is>
      </c>
      <c r="E3" s="9" t="inlineStr">
        <is>
          <t>Antwort</t>
        </is>
      </c>
      <c r="F3" s="9" t="inlineStr">
        <is>
          <t>Termin</t>
        </is>
      </c>
      <c r="G3" s="9" t="inlineStr">
        <is>
          <t>Konditionen</t>
        </is>
      </c>
      <c r="H3" s="9" t="inlineStr">
        <is>
          <t>Nachfassen am</t>
        </is>
      </c>
      <c r="I3" s="9" t="inlineStr">
        <is>
          <t>Notiz</t>
        </is>
      </c>
    </row>
    <row r="4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8" customWidth="1" min="3" max="3"/>
    <col width="50" customWidth="1" min="4" max="4"/>
    <col width="40" customWidth="1" min="5" max="5"/>
    <col width="14" customWidth="1" min="6" max="6"/>
  </cols>
  <sheetData>
    <row r="1">
      <c r="A1" s="6" t="inlineStr">
        <is>
          <t>Berlin · Feedback aus Läden und Märkten</t>
        </is>
      </c>
    </row>
    <row r="2">
      <c r="A2" s="7" t="inlineStr">
        <is>
          <t>Wer, was gesagt, was du änderst.</t>
        </is>
      </c>
    </row>
    <row r="3" ht="32" customHeight="1">
      <c r="A3" s="9" t="inlineStr">
        <is>
          <t>Datum</t>
        </is>
      </c>
      <c r="B3" s="9" t="inlineStr">
        <is>
          <t>Wo</t>
        </is>
      </c>
      <c r="C3" s="9" t="inlineStr">
        <is>
          <t>Wer (Rolle)</t>
        </is>
      </c>
      <c r="D3" s="9" t="inlineStr">
        <is>
          <t>Was gesagt</t>
        </is>
      </c>
      <c r="E3" s="9" t="inlineStr">
        <is>
          <t>Was ich ändere</t>
        </is>
      </c>
      <c r="F3" s="9" t="inlineStr">
        <is>
          <t>Folge-Termin</t>
        </is>
      </c>
    </row>
    <row r="4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8" customWidth="1" min="3" max="3"/>
    <col width="20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9" customWidth="1" min="11" max="11"/>
    <col width="30" customWidth="1" min="12" max="12"/>
  </cols>
  <sheetData>
    <row r="1">
      <c r="A1" s="6" t="inlineStr">
        <is>
          <t>Abende · Papiertest, Stick, Mess-Abende, Drop</t>
        </is>
      </c>
    </row>
    <row r="2">
      <c r="A2" s="7" t="inlineStr">
        <is>
          <t>Ein Abend ist ein Erfolg, wenn Gäste auf die Liste kommen und Zusagen entstehen.</t>
        </is>
      </c>
    </row>
    <row r="3" ht="32" customHeight="1">
      <c r="A3" s="9" t="inlineStr">
        <is>
          <t>Abend</t>
        </is>
      </c>
      <c r="B3" s="9" t="inlineStr">
        <is>
          <t>Datum</t>
        </is>
      </c>
      <c r="C3" s="9" t="inlineStr">
        <is>
          <t>Ort</t>
        </is>
      </c>
      <c r="D3" s="9" t="inlineStr">
        <is>
          <t>Gast</t>
        </is>
      </c>
      <c r="E3" s="9" t="inlineStr">
        <is>
          <t>eingeladen</t>
        </is>
      </c>
      <c r="F3" s="9" t="inlineStr">
        <is>
          <t>zugesagt</t>
        </is>
      </c>
      <c r="G3" s="9" t="inlineStr">
        <is>
          <t>gekommen</t>
        </is>
      </c>
      <c r="H3" s="9" t="inlineStr">
        <is>
          <t>auf der Liste</t>
        </is>
      </c>
      <c r="I3" s="9" t="inlineStr">
        <is>
          <t>Größe gemessen</t>
        </is>
      </c>
      <c r="J3" s="9" t="inlineStr">
        <is>
          <t>Zusage</t>
        </is>
      </c>
      <c r="K3" s="9" t="inlineStr">
        <is>
          <t>bestellt</t>
        </is>
      </c>
      <c r="L3" s="9" t="inlineStr">
        <is>
          <t>Notiz</t>
        </is>
      </c>
    </row>
    <row r="4"/>
  </sheetData>
  <dataValidations count="8">
    <dataValidation sqref="A4:A400" showDropDown="0" showInputMessage="0" showErrorMessage="0" allowBlank="1" type="list">
      <formula1>"Papiertest 24.10.,Stick 27.11.,Creator-Preview 12.01.,Mess 1 16.01.,Mess 2 23.01.,Mess 2b 27.01.,Mess 3 13.03.,Drop-Abend 24.04."</formula1>
    </dataValidation>
    <dataValidation sqref="E4:E400" showDropDown="0" showInputMessage="0" showErrorMessage="0" allowBlank="1" type="list">
      <formula1>"ja,nein"</formula1>
    </dataValidation>
    <dataValidation sqref="F4:F400" showDropDown="0" showInputMessage="0" showErrorMessage="0" allowBlank="1" type="list">
      <formula1>"ja,nein"</formula1>
    </dataValidation>
    <dataValidation sqref="G4:G400" showDropDown="0" showInputMessage="0" showErrorMessage="0" allowBlank="1" type="list">
      <formula1>"ja,nein"</formula1>
    </dataValidation>
    <dataValidation sqref="H4:H400" showDropDown="0" showInputMessage="0" showErrorMessage="0" allowBlank="1" type="list">
      <formula1>"ja,nein"</formula1>
    </dataValidation>
    <dataValidation sqref="J4:J400" showDropDown="0" showInputMessage="0" showErrorMessage="0" allowBlank="1" type="list">
      <formula1>"ja,nein"</formula1>
    </dataValidation>
    <dataValidation sqref="K4:K400" showDropDown="0" showInputMessage="0" showErrorMessage="0" allowBlank="1" type="list">
      <formula1>"ja,nein"</formula1>
    </dataValidation>
    <dataValidation sqref="I4:I400" showDropDown="0" showInputMessage="0" showErrorMessage="0" allowBlank="1" type="list">
      <formula1>"W30,W32,W34,W36,W38,kleiner,größer"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12" customWidth="1" min="4" max="4"/>
    <col width="9" customWidth="1" min="5" max="5"/>
    <col width="14" customWidth="1" min="6" max="6"/>
    <col width="10" customWidth="1" min="7" max="7"/>
    <col width="30" customWidth="1" min="8" max="8"/>
  </cols>
  <sheetData>
    <row r="1">
      <c r="A1" s="6" t="inlineStr">
        <is>
          <t>Shoot · Sa 20.02.</t>
        </is>
      </c>
    </row>
    <row r="2">
      <c r="A2" s="7" t="inlineStr">
        <is>
          <t>Fotograf mit schriftlichen Nutzungsrechten (Shop, Werbung, Presse).</t>
        </is>
      </c>
    </row>
    <row r="3" ht="32" customHeight="1">
      <c r="A3" s="9" t="inlineStr">
        <is>
          <t>Name</t>
        </is>
      </c>
      <c r="B3" s="9" t="inlineStr">
        <is>
          <t>Rolle</t>
        </is>
      </c>
      <c r="C3" s="9" t="inlineStr">
        <is>
          <t>Kontaktweg</t>
        </is>
      </c>
      <c r="D3" s="9" t="inlineStr">
        <is>
          <t>angefragt am</t>
        </is>
      </c>
      <c r="E3" s="9" t="inlineStr">
        <is>
          <t>Zusage</t>
        </is>
      </c>
      <c r="F3" s="9" t="inlineStr">
        <is>
          <t>Nutzungsrechte schriftlich</t>
        </is>
      </c>
      <c r="G3" s="9" t="inlineStr">
        <is>
          <t>Kosten €</t>
        </is>
      </c>
      <c r="H3" s="9" t="inlineStr">
        <is>
          <t>Notiz</t>
        </is>
      </c>
    </row>
    <row r="4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1" customWidth="1" min="3" max="3"/>
    <col width="10" customWidth="1" min="4" max="4"/>
    <col width="10" customWidth="1" min="5" max="5"/>
    <col width="11" customWidth="1" min="6" max="6"/>
    <col width="8" customWidth="1" min="7" max="7"/>
    <col width="40" customWidth="1" min="8" max="8"/>
  </cols>
  <sheetData>
    <row r="1">
      <c r="A1" s="6" t="inlineStr">
        <is>
          <t>Proto · W32 messen (10 Messpunkte)</t>
        </is>
      </c>
    </row>
    <row r="2">
      <c r="A2" s="7" t="inlineStr">
        <is>
          <t>Soll und Toleranz aus der Spec Rev. 13 (W32, cm). Flach messen, nicht ziehen, zweimal messen.</t>
        </is>
      </c>
    </row>
    <row r="3" ht="32" customHeight="1">
      <c r="A3" s="9" t="inlineStr">
        <is>
          <t>#</t>
        </is>
      </c>
      <c r="B3" s="9" t="inlineStr">
        <is>
          <t>Messpunkt</t>
        </is>
      </c>
      <c r="C3" s="9" t="inlineStr">
        <is>
          <t>Soll W32 cm</t>
        </is>
      </c>
      <c r="D3" s="9" t="inlineStr">
        <is>
          <t>Toleranz ±</t>
        </is>
      </c>
      <c r="E3" s="9" t="inlineStr">
        <is>
          <t>Ist cm</t>
        </is>
      </c>
      <c r="F3" s="9" t="inlineStr">
        <is>
          <t>Abweichung</t>
        </is>
      </c>
      <c r="G3" s="9" t="inlineStr">
        <is>
          <t>ok?</t>
        </is>
      </c>
      <c r="H3" s="9" t="inlineStr">
        <is>
          <t>Notiz / Foto-Nr.</t>
        </is>
      </c>
    </row>
    <row r="4">
      <c r="A4" s="11" t="n">
        <v>1</v>
      </c>
      <c r="B4" s="11" t="inlineStr">
        <is>
          <t>Bund, flach (½)</t>
        </is>
      </c>
      <c r="C4" s="11" t="n">
        <v>40.6</v>
      </c>
      <c r="D4" s="11" t="n">
        <v>0.3</v>
      </c>
      <c r="E4" s="12" t="n"/>
      <c r="F4" s="23">
        <f>IF(E4="","",E4-C4)</f>
        <v/>
      </c>
      <c r="G4">
        <f>IF(E4="","",IF(ABS(E4-C4)&lt;=D4,"ok","raus"))</f>
        <v/>
      </c>
    </row>
    <row r="5">
      <c r="A5" s="11" t="n">
        <v>2</v>
      </c>
      <c r="B5" s="11" t="inlineStr">
        <is>
          <t>Hüfte, 20 cm unter Bund (½)</t>
        </is>
      </c>
      <c r="C5" s="11" t="n">
        <v>50</v>
      </c>
      <c r="D5" s="11" t="n">
        <v>0.5</v>
      </c>
      <c r="E5" s="12" t="n"/>
      <c r="F5" s="23">
        <f>IF(E5="","",E5-C5)</f>
        <v/>
      </c>
      <c r="G5">
        <f>IF(E5="","",IF(ABS(E5-C5)&lt;=D5,"ok","raus"))</f>
        <v/>
      </c>
    </row>
    <row r="6">
      <c r="A6" s="11" t="n">
        <v>3</v>
      </c>
      <c r="B6" s="11" t="inlineStr">
        <is>
          <t>Vordere Leibhöhe</t>
        </is>
      </c>
      <c r="C6" s="11" t="n">
        <v>28</v>
      </c>
      <c r="D6" s="11" t="n">
        <v>0.3</v>
      </c>
      <c r="E6" s="12" t="n"/>
      <c r="F6" s="23">
        <f>IF(E6="","",E6-C6)</f>
        <v/>
      </c>
      <c r="G6">
        <f>IF(E6="","",IF(ABS(E6-C6)&lt;=D6,"ok","raus"))</f>
        <v/>
      </c>
    </row>
    <row r="7">
      <c r="A7" s="11" t="n">
        <v>4</v>
      </c>
      <c r="B7" s="11" t="inlineStr">
        <is>
          <t>Hintere Leibhöhe</t>
        </is>
      </c>
      <c r="C7" s="11" t="n">
        <v>40</v>
      </c>
      <c r="D7" s="11" t="n">
        <v>0.3</v>
      </c>
      <c r="E7" s="12" t="n"/>
      <c r="F7" s="23">
        <f>IF(E7="","",E7-C7)</f>
        <v/>
      </c>
      <c r="G7">
        <f>IF(E7="","",IF(ABS(E7-C7)&lt;=D7,"ok","raus"))</f>
        <v/>
      </c>
    </row>
    <row r="8">
      <c r="A8" s="11" t="n">
        <v>5</v>
      </c>
      <c r="B8" s="11" t="inlineStr">
        <is>
          <t>Oberschenkel, 2,5 cm unter Schritt (½)</t>
        </is>
      </c>
      <c r="C8" s="11" t="n">
        <v>30</v>
      </c>
      <c r="D8" s="11" t="n">
        <v>0.5</v>
      </c>
      <c r="E8" s="12" t="n"/>
      <c r="F8" s="23">
        <f>IF(E8="","",E8-C8)</f>
        <v/>
      </c>
      <c r="G8">
        <f>IF(E8="","",IF(ABS(E8-C8)&lt;=D8,"ok","raus"))</f>
        <v/>
      </c>
    </row>
    <row r="9">
      <c r="A9" s="11" t="n">
        <v>6</v>
      </c>
      <c r="B9" s="11" t="inlineStr">
        <is>
          <t>Knie, 33 cm unter Schritt (½)</t>
        </is>
      </c>
      <c r="C9" s="11" t="n">
        <v>24</v>
      </c>
      <c r="D9" s="11" t="n">
        <v>0.5</v>
      </c>
      <c r="E9" s="12" t="n"/>
      <c r="F9" s="23">
        <f>IF(E9="","",E9-C9)</f>
        <v/>
      </c>
      <c r="G9">
        <f>IF(E9="","",IF(ABS(E9-C9)&lt;=D9,"ok","raus"))</f>
        <v/>
      </c>
    </row>
    <row r="10">
      <c r="A10" s="11" t="n">
        <v>7</v>
      </c>
      <c r="B10" s="11" t="inlineStr">
        <is>
          <t>Beinöffnung (½)</t>
        </is>
      </c>
      <c r="C10" s="11" t="n">
        <v>22</v>
      </c>
      <c r="D10" s="11" t="n">
        <v>0.5</v>
      </c>
      <c r="E10" s="12" t="n"/>
      <c r="F10" s="23">
        <f>IF(E10="","",E10-C10)</f>
        <v/>
      </c>
      <c r="G10">
        <f>IF(E10="","",IF(ABS(E10-C10)&lt;=D10,"ok","raus"))</f>
        <v/>
      </c>
    </row>
    <row r="11">
      <c r="A11" s="11" t="n">
        <v>8</v>
      </c>
      <c r="B11" s="11" t="inlineStr">
        <is>
          <t>Innenbeinlänge, fertig</t>
        </is>
      </c>
      <c r="C11" s="11" t="n">
        <v>80.5</v>
      </c>
      <c r="D11" s="11" t="n">
        <v>0.5</v>
      </c>
      <c r="E11" s="12" t="n"/>
      <c r="F11" s="23">
        <f>IF(E11="","",E11-C11)</f>
        <v/>
      </c>
      <c r="G11">
        <f>IF(E11="","",IF(ABS(E11-C11)&lt;=D11,"ok","raus"))</f>
        <v/>
      </c>
    </row>
    <row r="12">
      <c r="A12" s="11" t="n">
        <v>9</v>
      </c>
      <c r="B12" s="11" t="inlineStr">
        <is>
          <t>Außenlänge</t>
        </is>
      </c>
      <c r="C12" s="11" t="n">
        <v>106</v>
      </c>
      <c r="D12" s="11" t="n">
        <v>0.5</v>
      </c>
      <c r="E12" s="12" t="n"/>
      <c r="F12" s="23">
        <f>IF(E12="","",E12-C12)</f>
        <v/>
      </c>
      <c r="G12">
        <f>IF(E12="","",IF(ABS(E12-C12)&lt;=D12,"ok","raus"))</f>
        <v/>
      </c>
    </row>
    <row r="13">
      <c r="A13" s="11" t="n">
        <v>10</v>
      </c>
      <c r="B13" s="11" t="inlineStr">
        <is>
          <t>Bundbreite</t>
        </is>
      </c>
      <c r="C13" s="11" t="n">
        <v>4</v>
      </c>
      <c r="D13" s="11" t="n">
        <v>0.2</v>
      </c>
      <c r="E13" s="12" t="n"/>
      <c r="F13" s="23">
        <f>IF(E13="","",E13-C13)</f>
        <v/>
      </c>
      <c r="G13">
        <f>IF(E13="","",IF(ABS(E13-C13)&lt;=D13,"ok","raus"))</f>
        <v/>
      </c>
    </row>
  </sheetData>
  <conditionalFormatting sqref="G4:G13">
    <cfRule type="expression" priority="1" dxfId="0">
      <formula>$G4="ok"</formula>
    </cfRule>
    <cfRule type="expression" priority="2" dxfId="2">
      <formula>$G4="raus"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34" customWidth="1" min="3" max="3"/>
    <col width="10" customWidth="1" min="4" max="4"/>
    <col width="10" customWidth="1" min="5" max="5"/>
    <col width="8" customWidth="1" min="6" max="6"/>
    <col width="10" customWidth="1" min="7" max="7"/>
    <col width="40" customWidth="1" min="8" max="8"/>
  </cols>
  <sheetData>
    <row r="1">
      <c r="A1" s="6" t="inlineStr">
        <is>
          <t>QC · Wareneingang (15 % Stichprobe)</t>
        </is>
      </c>
    </row>
    <row r="2">
      <c r="A2" s="7" t="inlineStr">
        <is>
          <t>Karton, Größe, Messwert gegen Soll; dazu Schnittkante, Weizenfäden, Patch-Sitz, Position aller fünf Elemente.</t>
        </is>
      </c>
    </row>
    <row r="3" ht="32" customHeight="1">
      <c r="A3" s="9" t="inlineStr">
        <is>
          <t>Karton</t>
        </is>
      </c>
      <c r="B3" s="9" t="inlineStr">
        <is>
          <t>Größe</t>
        </is>
      </c>
      <c r="C3" s="9" t="inlineStr">
        <is>
          <t>Prüfpunkt</t>
        </is>
      </c>
      <c r="D3" s="9" t="inlineStr">
        <is>
          <t>Soll</t>
        </is>
      </c>
      <c r="E3" s="9" t="inlineStr">
        <is>
          <t>Ist</t>
        </is>
      </c>
      <c r="F3" s="9" t="inlineStr">
        <is>
          <t>ok?</t>
        </is>
      </c>
      <c r="G3" s="9" t="inlineStr">
        <is>
          <t>Foto-Nr.</t>
        </is>
      </c>
      <c r="H3" s="9" t="inlineStr">
        <is>
          <t>Notiz</t>
        </is>
      </c>
    </row>
    <row r="4"/>
  </sheetData>
  <conditionalFormatting sqref="F4:F400">
    <cfRule type="expression" priority="1" dxfId="0">
      <formula>$F4="ok"</formula>
    </cfRule>
    <cfRule type="expression" priority="2" dxfId="2">
      <formula>$F4="raus"</formula>
    </cfRule>
  </conditionalFormatting>
  <dataValidations count="1">
    <dataValidation sqref="F4:F400" showDropDown="0" showInputMessage="0" showErrorMessage="0" allowBlank="1" type="list">
      <formula1>"ok,raus"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8" customWidth="1" min="4" max="4"/>
    <col width="8" customWidth="1" min="5" max="5"/>
    <col width="12" customWidth="1" min="6" max="6"/>
    <col width="10" customWidth="1" min="7" max="7"/>
    <col width="12" customWidth="1" min="8" max="8"/>
    <col width="18" customWidth="1" min="9" max="9"/>
    <col width="12" customWidth="1" min="10" max="10"/>
    <col width="30" customWidth="1" min="11" max="11"/>
    <col width="15" customWidth="1" min="13" max="13"/>
    <col width="16" customWidth="1" min="14" max="14"/>
  </cols>
  <sheetData>
    <row r="1">
      <c r="A1" s="6" t="inlineStr">
        <is>
          <t>Vorbestellungen · ab Do 14.01.</t>
        </is>
      </c>
    </row>
    <row r="2">
      <c r="A2" s="7" t="inlineStr">
        <is>
          <t>Nummern nach Bestelldatum ohne Lücke: 001–035 zu 149 €, ab 036 Stufe 2 zu 169 €. Für die Schwellen zählt nur ausgezahltes Geld.</t>
        </is>
      </c>
    </row>
    <row r="3" ht="32" customHeight="1">
      <c r="A3" s="9" t="inlineStr">
        <is>
          <t>Bestellnr.</t>
        </is>
      </c>
      <c r="B3" s="9" t="inlineStr">
        <is>
          <t>Datum</t>
        </is>
      </c>
      <c r="C3" s="9" t="inlineStr">
        <is>
          <t>Kürzel</t>
        </is>
      </c>
      <c r="D3" s="9" t="inlineStr">
        <is>
          <t>Größe</t>
        </is>
      </c>
      <c r="E3" s="9" t="inlineStr">
        <is>
          <t>Nummer</t>
        </is>
      </c>
      <c r="F3" s="9" t="inlineStr">
        <is>
          <t>Stufe</t>
        </is>
      </c>
      <c r="G3" s="9" t="inlineStr">
        <is>
          <t>Betrag €</t>
        </is>
      </c>
      <c r="H3" s="9" t="inlineStr">
        <is>
          <t>ausgezahlt am</t>
        </is>
      </c>
      <c r="I3" s="9" t="inlineStr">
        <is>
          <t>Quelle (ref/utm)</t>
        </is>
      </c>
      <c r="J3" s="9" t="inlineStr">
        <is>
          <t>Status</t>
        </is>
      </c>
      <c r="K3" s="9" t="inlineStr">
        <is>
          <t>Notiz</t>
        </is>
      </c>
      <c r="M3" s="4" t="inlineStr">
        <is>
          <t>Bezahlt gesamt</t>
        </is>
      </c>
      <c r="N3" s="4" t="inlineStr">
        <is>
          <t>Davon ausgezahlt</t>
        </is>
      </c>
    </row>
    <row r="4">
      <c r="M4" s="22">
        <f>COUNTIFS(A4:A400,"&lt;&gt;",J4:J400,"&lt;&gt;storniert",J4:J400,"&lt;&gt;erstattet")</f>
        <v/>
      </c>
      <c r="N4" s="22">
        <f>COUNTIF(H4:H400,"&lt;&gt;")</f>
        <v/>
      </c>
    </row>
  </sheetData>
  <dataValidations count="3">
    <dataValidation sqref="D4:D400" showDropDown="0" showInputMessage="0" showErrorMessage="0" allowBlank="1" type="list">
      <formula1>"W30,W32,W34,W36,W38"</formula1>
    </dataValidation>
    <dataValidation sqref="F4:F400" showDropDown="0" showInputMessage="0" showErrorMessage="0" allowBlank="1" type="list">
      <formula1>"149 €,Stufe 2 169 €"</formula1>
    </dataValidation>
    <dataValidation sqref="J4:J400" showDropDown="0" showInputMessage="0" showErrorMessage="0" allowBlank="1" type="list">
      <formula1>"bezahlt,ausgezahlt,storniert,erstattet"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2" customWidth="1" min="4" max="4"/>
    <col width="8" customWidth="1" min="5" max="5"/>
    <col width="30" customWidth="1" min="6" max="6"/>
  </cols>
  <sheetData>
    <row r="1">
      <c r="A1" s="6" t="inlineStr">
        <is>
          <t>Nummern 001–100</t>
        </is>
      </c>
    </row>
    <row r="2">
      <c r="A2" s="7" t="inlineStr">
        <is>
          <t>Plan bei vollem Verkauf. Füllt sich Stufe 2 nicht, rücken Creator, Reserve und Drop ohne Lücke nach.</t>
        </is>
      </c>
    </row>
    <row r="3" ht="32" customHeight="1">
      <c r="A3" s="9" t="inlineStr">
        <is>
          <t>Nummer</t>
        </is>
      </c>
      <c r="B3" s="9" t="inlineStr">
        <is>
          <t>Plan</t>
        </is>
      </c>
      <c r="C3" s="9" t="inlineStr">
        <is>
          <t>Status</t>
        </is>
      </c>
      <c r="D3" s="9" t="inlineStr">
        <is>
          <t>Bestellnr.</t>
        </is>
      </c>
      <c r="E3" s="9" t="inlineStr">
        <is>
          <t>Größe</t>
        </is>
      </c>
      <c r="F3" s="9" t="inlineStr">
        <is>
          <t>Notiz</t>
        </is>
      </c>
    </row>
    <row r="4">
      <c r="A4" s="11" t="inlineStr">
        <is>
          <t>001</t>
        </is>
      </c>
      <c r="B4" s="11" t="inlineStr">
        <is>
          <t>Vorbestellung 149 €</t>
        </is>
      </c>
    </row>
    <row r="5">
      <c r="A5" s="11" t="inlineStr">
        <is>
          <t>002</t>
        </is>
      </c>
      <c r="B5" s="11" t="inlineStr">
        <is>
          <t>Vorbestellung 149 €</t>
        </is>
      </c>
    </row>
    <row r="6">
      <c r="A6" s="11" t="inlineStr">
        <is>
          <t>003</t>
        </is>
      </c>
      <c r="B6" s="11" t="inlineStr">
        <is>
          <t>Vorbestellung 149 €</t>
        </is>
      </c>
    </row>
    <row r="7">
      <c r="A7" s="11" t="inlineStr">
        <is>
          <t>004</t>
        </is>
      </c>
      <c r="B7" s="11" t="inlineStr">
        <is>
          <t>Vorbestellung 149 €</t>
        </is>
      </c>
    </row>
    <row r="8">
      <c r="A8" s="11" t="inlineStr">
        <is>
          <t>005</t>
        </is>
      </c>
      <c r="B8" s="11" t="inlineStr">
        <is>
          <t>Vorbestellung 149 €</t>
        </is>
      </c>
    </row>
    <row r="9">
      <c r="A9" s="11" t="inlineStr">
        <is>
          <t>006</t>
        </is>
      </c>
      <c r="B9" s="11" t="inlineStr">
        <is>
          <t>Vorbestellung 149 €</t>
        </is>
      </c>
    </row>
    <row r="10">
      <c r="A10" s="11" t="inlineStr">
        <is>
          <t>007</t>
        </is>
      </c>
      <c r="B10" s="11" t="inlineStr">
        <is>
          <t>Vorbestellung 149 €</t>
        </is>
      </c>
    </row>
    <row r="11">
      <c r="A11" s="11" t="inlineStr">
        <is>
          <t>008</t>
        </is>
      </c>
      <c r="B11" s="11" t="inlineStr">
        <is>
          <t>Vorbestellung 149 €</t>
        </is>
      </c>
    </row>
    <row r="12">
      <c r="A12" s="11" t="inlineStr">
        <is>
          <t>009</t>
        </is>
      </c>
      <c r="B12" s="11" t="inlineStr">
        <is>
          <t>Vorbestellung 149 €</t>
        </is>
      </c>
    </row>
    <row r="13">
      <c r="A13" s="11" t="inlineStr">
        <is>
          <t>010</t>
        </is>
      </c>
      <c r="B13" s="11" t="inlineStr">
        <is>
          <t>Vorbestellung 149 €</t>
        </is>
      </c>
    </row>
    <row r="14">
      <c r="A14" s="11" t="inlineStr">
        <is>
          <t>011</t>
        </is>
      </c>
      <c r="B14" s="11" t="inlineStr">
        <is>
          <t>Vorbestellung 149 €</t>
        </is>
      </c>
    </row>
    <row r="15">
      <c r="A15" s="11" t="inlineStr">
        <is>
          <t>012</t>
        </is>
      </c>
      <c r="B15" s="11" t="inlineStr">
        <is>
          <t>Vorbestellung 149 €</t>
        </is>
      </c>
    </row>
    <row r="16">
      <c r="A16" s="11" t="inlineStr">
        <is>
          <t>013</t>
        </is>
      </c>
      <c r="B16" s="11" t="inlineStr">
        <is>
          <t>Vorbestellung 149 €</t>
        </is>
      </c>
    </row>
    <row r="17">
      <c r="A17" s="11" t="inlineStr">
        <is>
          <t>014</t>
        </is>
      </c>
      <c r="B17" s="11" t="inlineStr">
        <is>
          <t>Vorbestellung 149 €</t>
        </is>
      </c>
    </row>
    <row r="18">
      <c r="A18" s="11" t="inlineStr">
        <is>
          <t>015</t>
        </is>
      </c>
      <c r="B18" s="11" t="inlineStr">
        <is>
          <t>Vorbestellung 149 €</t>
        </is>
      </c>
    </row>
    <row r="19">
      <c r="A19" s="11" t="inlineStr">
        <is>
          <t>016</t>
        </is>
      </c>
      <c r="B19" s="11" t="inlineStr">
        <is>
          <t>Vorbestellung 149 €</t>
        </is>
      </c>
    </row>
    <row r="20">
      <c r="A20" s="11" t="inlineStr">
        <is>
          <t>017</t>
        </is>
      </c>
      <c r="B20" s="11" t="inlineStr">
        <is>
          <t>Vorbestellung 149 €</t>
        </is>
      </c>
    </row>
    <row r="21">
      <c r="A21" s="11" t="inlineStr">
        <is>
          <t>018</t>
        </is>
      </c>
      <c r="B21" s="11" t="inlineStr">
        <is>
          <t>Vorbestellung 149 €</t>
        </is>
      </c>
    </row>
    <row r="22">
      <c r="A22" s="11" t="inlineStr">
        <is>
          <t>019</t>
        </is>
      </c>
      <c r="B22" s="11" t="inlineStr">
        <is>
          <t>Vorbestellung 149 €</t>
        </is>
      </c>
    </row>
    <row r="23">
      <c r="A23" s="11" t="inlineStr">
        <is>
          <t>020</t>
        </is>
      </c>
      <c r="B23" s="11" t="inlineStr">
        <is>
          <t>Vorbestellung 149 €</t>
        </is>
      </c>
    </row>
    <row r="24">
      <c r="A24" s="11" t="inlineStr">
        <is>
          <t>021</t>
        </is>
      </c>
      <c r="B24" s="11" t="inlineStr">
        <is>
          <t>Vorbestellung 149 €</t>
        </is>
      </c>
    </row>
    <row r="25">
      <c r="A25" s="11" t="inlineStr">
        <is>
          <t>022</t>
        </is>
      </c>
      <c r="B25" s="11" t="inlineStr">
        <is>
          <t>Vorbestellung 149 €</t>
        </is>
      </c>
    </row>
    <row r="26">
      <c r="A26" s="11" t="inlineStr">
        <is>
          <t>023</t>
        </is>
      </c>
      <c r="B26" s="11" t="inlineStr">
        <is>
          <t>Vorbestellung 149 €</t>
        </is>
      </c>
    </row>
    <row r="27">
      <c r="A27" s="11" t="inlineStr">
        <is>
          <t>024</t>
        </is>
      </c>
      <c r="B27" s="11" t="inlineStr">
        <is>
          <t>Vorbestellung 149 €</t>
        </is>
      </c>
    </row>
    <row r="28">
      <c r="A28" s="11" t="inlineStr">
        <is>
          <t>025</t>
        </is>
      </c>
      <c r="B28" s="11" t="inlineStr">
        <is>
          <t>Vorbestellung 149 €</t>
        </is>
      </c>
    </row>
    <row r="29">
      <c r="A29" s="11" t="inlineStr">
        <is>
          <t>026</t>
        </is>
      </c>
      <c r="B29" s="11" t="inlineStr">
        <is>
          <t>Vorbestellung 149 €</t>
        </is>
      </c>
    </row>
    <row r="30">
      <c r="A30" s="11" t="inlineStr">
        <is>
          <t>027</t>
        </is>
      </c>
      <c r="B30" s="11" t="inlineStr">
        <is>
          <t>Vorbestellung 149 €</t>
        </is>
      </c>
    </row>
    <row r="31">
      <c r="A31" s="11" t="inlineStr">
        <is>
          <t>028</t>
        </is>
      </c>
      <c r="B31" s="11" t="inlineStr">
        <is>
          <t>Vorbestellung 149 €</t>
        </is>
      </c>
    </row>
    <row r="32">
      <c r="A32" s="11" t="inlineStr">
        <is>
          <t>029</t>
        </is>
      </c>
      <c r="B32" s="11" t="inlineStr">
        <is>
          <t>Vorbestellung 149 €</t>
        </is>
      </c>
    </row>
    <row r="33">
      <c r="A33" s="11" t="inlineStr">
        <is>
          <t>030</t>
        </is>
      </c>
      <c r="B33" s="11" t="inlineStr">
        <is>
          <t>Vorbestellung 149 €</t>
        </is>
      </c>
    </row>
    <row r="34">
      <c r="A34" s="11" t="inlineStr">
        <is>
          <t>031</t>
        </is>
      </c>
      <c r="B34" s="11" t="inlineStr">
        <is>
          <t>Vorbestellung 149 €</t>
        </is>
      </c>
    </row>
    <row r="35">
      <c r="A35" s="11" t="inlineStr">
        <is>
          <t>032</t>
        </is>
      </c>
      <c r="B35" s="11" t="inlineStr">
        <is>
          <t>Vorbestellung 149 €</t>
        </is>
      </c>
    </row>
    <row r="36">
      <c r="A36" s="11" t="inlineStr">
        <is>
          <t>033</t>
        </is>
      </c>
      <c r="B36" s="11" t="inlineStr">
        <is>
          <t>Vorbestellung 149 €</t>
        </is>
      </c>
    </row>
    <row r="37">
      <c r="A37" s="11" t="inlineStr">
        <is>
          <t>034</t>
        </is>
      </c>
      <c r="B37" s="11" t="inlineStr">
        <is>
          <t>Vorbestellung 149 €</t>
        </is>
      </c>
    </row>
    <row r="38">
      <c r="A38" s="11" t="inlineStr">
        <is>
          <t>035</t>
        </is>
      </c>
      <c r="B38" s="11" t="inlineStr">
        <is>
          <t>Vorbestellung 149 €</t>
        </is>
      </c>
    </row>
    <row r="39">
      <c r="A39" s="11" t="inlineStr">
        <is>
          <t>036</t>
        </is>
      </c>
      <c r="B39" s="11" t="inlineStr">
        <is>
          <t>Stufe 2</t>
        </is>
      </c>
    </row>
    <row r="40">
      <c r="A40" s="11" t="inlineStr">
        <is>
          <t>037</t>
        </is>
      </c>
      <c r="B40" s="11" t="inlineStr">
        <is>
          <t>Stufe 2</t>
        </is>
      </c>
    </row>
    <row r="41">
      <c r="A41" s="11" t="inlineStr">
        <is>
          <t>038</t>
        </is>
      </c>
      <c r="B41" s="11" t="inlineStr">
        <is>
          <t>Stufe 2</t>
        </is>
      </c>
    </row>
    <row r="42">
      <c r="A42" s="11" t="inlineStr">
        <is>
          <t>039</t>
        </is>
      </c>
      <c r="B42" s="11" t="inlineStr">
        <is>
          <t>Stufe 2</t>
        </is>
      </c>
    </row>
    <row r="43">
      <c r="A43" s="11" t="inlineStr">
        <is>
          <t>040</t>
        </is>
      </c>
      <c r="B43" s="11" t="inlineStr">
        <is>
          <t>Stufe 2</t>
        </is>
      </c>
    </row>
    <row r="44">
      <c r="A44" s="11" t="inlineStr">
        <is>
          <t>041</t>
        </is>
      </c>
      <c r="B44" s="11" t="inlineStr">
        <is>
          <t>Stufe 2</t>
        </is>
      </c>
    </row>
    <row r="45">
      <c r="A45" s="11" t="inlineStr">
        <is>
          <t>042</t>
        </is>
      </c>
      <c r="B45" s="11" t="inlineStr">
        <is>
          <t>Stufe 2</t>
        </is>
      </c>
    </row>
    <row r="46">
      <c r="A46" s="11" t="inlineStr">
        <is>
          <t>043</t>
        </is>
      </c>
      <c r="B46" s="11" t="inlineStr">
        <is>
          <t>Stufe 2</t>
        </is>
      </c>
    </row>
    <row r="47">
      <c r="A47" s="11" t="inlineStr">
        <is>
          <t>044</t>
        </is>
      </c>
      <c r="B47" s="11" t="inlineStr">
        <is>
          <t>Stufe 2</t>
        </is>
      </c>
    </row>
    <row r="48">
      <c r="A48" s="11" t="inlineStr">
        <is>
          <t>045</t>
        </is>
      </c>
      <c r="B48" s="11" t="inlineStr">
        <is>
          <t>Stufe 2</t>
        </is>
      </c>
    </row>
    <row r="49">
      <c r="A49" s="11" t="inlineStr">
        <is>
          <t>046</t>
        </is>
      </c>
      <c r="B49" s="11" t="inlineStr">
        <is>
          <t>Stufe 2</t>
        </is>
      </c>
    </row>
    <row r="50">
      <c r="A50" s="11" t="inlineStr">
        <is>
          <t>047</t>
        </is>
      </c>
      <c r="B50" s="11" t="inlineStr">
        <is>
          <t>Stufe 2</t>
        </is>
      </c>
    </row>
    <row r="51">
      <c r="A51" s="11" t="inlineStr">
        <is>
          <t>048</t>
        </is>
      </c>
      <c r="B51" s="11" t="inlineStr">
        <is>
          <t>Stufe 2</t>
        </is>
      </c>
    </row>
    <row r="52">
      <c r="A52" s="11" t="inlineStr">
        <is>
          <t>049</t>
        </is>
      </c>
      <c r="B52" s="11" t="inlineStr">
        <is>
          <t>Stufe 2</t>
        </is>
      </c>
    </row>
    <row r="53">
      <c r="A53" s="11" t="inlineStr">
        <is>
          <t>050</t>
        </is>
      </c>
      <c r="B53" s="11" t="inlineStr">
        <is>
          <t>Stufe 2</t>
        </is>
      </c>
    </row>
    <row r="54">
      <c r="A54" s="11" t="inlineStr">
        <is>
          <t>051</t>
        </is>
      </c>
      <c r="B54" s="11" t="inlineStr">
        <is>
          <t>Stufe 2</t>
        </is>
      </c>
    </row>
    <row r="55">
      <c r="A55" s="11" t="inlineStr">
        <is>
          <t>052</t>
        </is>
      </c>
      <c r="B55" s="11" t="inlineStr">
        <is>
          <t>Stufe 2</t>
        </is>
      </c>
    </row>
    <row r="56">
      <c r="A56" s="11" t="inlineStr">
        <is>
          <t>053</t>
        </is>
      </c>
      <c r="B56" s="11" t="inlineStr">
        <is>
          <t>Stufe 2</t>
        </is>
      </c>
    </row>
    <row r="57">
      <c r="A57" s="11" t="inlineStr">
        <is>
          <t>054</t>
        </is>
      </c>
      <c r="B57" s="11" t="inlineStr">
        <is>
          <t>Stufe 2</t>
        </is>
      </c>
    </row>
    <row r="58">
      <c r="A58" s="11" t="inlineStr">
        <is>
          <t>055</t>
        </is>
      </c>
      <c r="B58" s="11" t="inlineStr">
        <is>
          <t>Stufe 2</t>
        </is>
      </c>
    </row>
    <row r="59">
      <c r="A59" s="11" t="inlineStr">
        <is>
          <t>056</t>
        </is>
      </c>
      <c r="B59" s="11" t="inlineStr">
        <is>
          <t>Stufe 2</t>
        </is>
      </c>
    </row>
    <row r="60">
      <c r="A60" s="11" t="inlineStr">
        <is>
          <t>057</t>
        </is>
      </c>
      <c r="B60" s="11" t="inlineStr">
        <is>
          <t>Stufe 2</t>
        </is>
      </c>
    </row>
    <row r="61">
      <c r="A61" s="11" t="inlineStr">
        <is>
          <t>058</t>
        </is>
      </c>
      <c r="B61" s="11" t="inlineStr">
        <is>
          <t>Stufe 2</t>
        </is>
      </c>
    </row>
    <row r="62">
      <c r="A62" s="11" t="inlineStr">
        <is>
          <t>059</t>
        </is>
      </c>
      <c r="B62" s="11" t="inlineStr">
        <is>
          <t>Stufe 2</t>
        </is>
      </c>
    </row>
    <row r="63">
      <c r="A63" s="11" t="inlineStr">
        <is>
          <t>060</t>
        </is>
      </c>
      <c r="B63" s="11" t="inlineStr">
        <is>
          <t>Stufe 2</t>
        </is>
      </c>
    </row>
    <row r="64">
      <c r="A64" s="11" t="inlineStr">
        <is>
          <t>061</t>
        </is>
      </c>
      <c r="B64" s="11" t="inlineStr">
        <is>
          <t>Creator</t>
        </is>
      </c>
    </row>
    <row r="65">
      <c r="A65" s="11" t="inlineStr">
        <is>
          <t>062</t>
        </is>
      </c>
      <c r="B65" s="11" t="inlineStr">
        <is>
          <t>Creator</t>
        </is>
      </c>
    </row>
    <row r="66">
      <c r="A66" s="11" t="inlineStr">
        <is>
          <t>063</t>
        </is>
      </c>
      <c r="B66" s="11" t="inlineStr">
        <is>
          <t>Creator</t>
        </is>
      </c>
    </row>
    <row r="67">
      <c r="A67" s="11" t="inlineStr">
        <is>
          <t>064</t>
        </is>
      </c>
      <c r="B67" s="11" t="inlineStr">
        <is>
          <t>Creator</t>
        </is>
      </c>
    </row>
    <row r="68">
      <c r="A68" s="11" t="inlineStr">
        <is>
          <t>065</t>
        </is>
      </c>
      <c r="B68" s="11" t="inlineStr">
        <is>
          <t>Creator</t>
        </is>
      </c>
    </row>
    <row r="69">
      <c r="A69" s="11" t="inlineStr">
        <is>
          <t>066</t>
        </is>
      </c>
      <c r="B69" s="11" t="inlineStr">
        <is>
          <t>Reserve</t>
        </is>
      </c>
    </row>
    <row r="70">
      <c r="A70" s="11" t="inlineStr">
        <is>
          <t>067</t>
        </is>
      </c>
      <c r="B70" s="11" t="inlineStr">
        <is>
          <t>Reserve</t>
        </is>
      </c>
    </row>
    <row r="71">
      <c r="A71" s="11" t="inlineStr">
        <is>
          <t>068</t>
        </is>
      </c>
      <c r="B71" s="11" t="inlineStr">
        <is>
          <t>Drop</t>
        </is>
      </c>
    </row>
    <row r="72">
      <c r="A72" s="11" t="inlineStr">
        <is>
          <t>069</t>
        </is>
      </c>
      <c r="B72" s="11" t="inlineStr">
        <is>
          <t>Drop</t>
        </is>
      </c>
    </row>
    <row r="73">
      <c r="A73" s="11" t="inlineStr">
        <is>
          <t>070</t>
        </is>
      </c>
      <c r="B73" s="11" t="inlineStr">
        <is>
          <t>Drop</t>
        </is>
      </c>
    </row>
    <row r="74">
      <c r="A74" s="11" t="inlineStr">
        <is>
          <t>071</t>
        </is>
      </c>
      <c r="B74" s="11" t="inlineStr">
        <is>
          <t>Drop</t>
        </is>
      </c>
    </row>
    <row r="75">
      <c r="A75" s="11" t="inlineStr">
        <is>
          <t>072</t>
        </is>
      </c>
      <c r="B75" s="11" t="inlineStr">
        <is>
          <t>Drop</t>
        </is>
      </c>
    </row>
    <row r="76">
      <c r="A76" s="11" t="inlineStr">
        <is>
          <t>073</t>
        </is>
      </c>
      <c r="B76" s="11" t="inlineStr">
        <is>
          <t>Drop</t>
        </is>
      </c>
    </row>
    <row r="77">
      <c r="A77" s="11" t="inlineStr">
        <is>
          <t>074</t>
        </is>
      </c>
      <c r="B77" s="11" t="inlineStr">
        <is>
          <t>Drop</t>
        </is>
      </c>
    </row>
    <row r="78">
      <c r="A78" s="11" t="inlineStr">
        <is>
          <t>075</t>
        </is>
      </c>
      <c r="B78" s="11" t="inlineStr">
        <is>
          <t>Drop</t>
        </is>
      </c>
    </row>
    <row r="79">
      <c r="A79" s="11" t="inlineStr">
        <is>
          <t>076</t>
        </is>
      </c>
      <c r="B79" s="11" t="inlineStr">
        <is>
          <t>Drop</t>
        </is>
      </c>
    </row>
    <row r="80">
      <c r="A80" s="11" t="inlineStr">
        <is>
          <t>077</t>
        </is>
      </c>
      <c r="B80" s="11" t="inlineStr">
        <is>
          <t>Drop</t>
        </is>
      </c>
    </row>
    <row r="81">
      <c r="A81" s="11" t="inlineStr">
        <is>
          <t>078</t>
        </is>
      </c>
      <c r="B81" s="11" t="inlineStr">
        <is>
          <t>Drop</t>
        </is>
      </c>
    </row>
    <row r="82">
      <c r="A82" s="11" t="inlineStr">
        <is>
          <t>079</t>
        </is>
      </c>
      <c r="B82" s="11" t="inlineStr">
        <is>
          <t>Drop</t>
        </is>
      </c>
    </row>
    <row r="83">
      <c r="A83" s="11" t="inlineStr">
        <is>
          <t>080</t>
        </is>
      </c>
      <c r="B83" s="11" t="inlineStr">
        <is>
          <t>Drop</t>
        </is>
      </c>
    </row>
    <row r="84">
      <c r="A84" s="11" t="inlineStr">
        <is>
          <t>081</t>
        </is>
      </c>
      <c r="B84" s="11" t="inlineStr">
        <is>
          <t>Drop</t>
        </is>
      </c>
    </row>
    <row r="85">
      <c r="A85" s="11" t="inlineStr">
        <is>
          <t>082</t>
        </is>
      </c>
      <c r="B85" s="11" t="inlineStr">
        <is>
          <t>Drop</t>
        </is>
      </c>
    </row>
    <row r="86">
      <c r="A86" s="11" t="inlineStr">
        <is>
          <t>083</t>
        </is>
      </c>
      <c r="B86" s="11" t="inlineStr">
        <is>
          <t>Drop</t>
        </is>
      </c>
    </row>
    <row r="87">
      <c r="A87" s="11" t="inlineStr">
        <is>
          <t>084</t>
        </is>
      </c>
      <c r="B87" s="11" t="inlineStr">
        <is>
          <t>Drop</t>
        </is>
      </c>
    </row>
    <row r="88">
      <c r="A88" s="11" t="inlineStr">
        <is>
          <t>085</t>
        </is>
      </c>
      <c r="B88" s="11" t="inlineStr">
        <is>
          <t>Drop</t>
        </is>
      </c>
    </row>
    <row r="89">
      <c r="A89" s="11" t="inlineStr">
        <is>
          <t>086</t>
        </is>
      </c>
      <c r="B89" s="11" t="inlineStr">
        <is>
          <t>Drop</t>
        </is>
      </c>
    </row>
    <row r="90">
      <c r="A90" s="11" t="inlineStr">
        <is>
          <t>087</t>
        </is>
      </c>
      <c r="B90" s="11" t="inlineStr">
        <is>
          <t>Drop</t>
        </is>
      </c>
    </row>
    <row r="91">
      <c r="A91" s="11" t="inlineStr">
        <is>
          <t>088</t>
        </is>
      </c>
      <c r="B91" s="11" t="inlineStr">
        <is>
          <t>Drop</t>
        </is>
      </c>
    </row>
    <row r="92">
      <c r="A92" s="11" t="inlineStr">
        <is>
          <t>089</t>
        </is>
      </c>
      <c r="B92" s="11" t="inlineStr">
        <is>
          <t>Drop</t>
        </is>
      </c>
    </row>
    <row r="93">
      <c r="A93" s="11" t="inlineStr">
        <is>
          <t>090</t>
        </is>
      </c>
      <c r="B93" s="11" t="inlineStr">
        <is>
          <t>Drop</t>
        </is>
      </c>
    </row>
    <row r="94">
      <c r="A94" s="11" t="inlineStr">
        <is>
          <t>091</t>
        </is>
      </c>
      <c r="B94" s="11" t="inlineStr">
        <is>
          <t>Drop</t>
        </is>
      </c>
    </row>
    <row r="95">
      <c r="A95" s="11" t="inlineStr">
        <is>
          <t>092</t>
        </is>
      </c>
      <c r="B95" s="11" t="inlineStr">
        <is>
          <t>Drop</t>
        </is>
      </c>
    </row>
    <row r="96">
      <c r="A96" s="11" t="inlineStr">
        <is>
          <t>093</t>
        </is>
      </c>
      <c r="B96" s="11" t="inlineStr">
        <is>
          <t>Drop</t>
        </is>
      </c>
    </row>
    <row r="97">
      <c r="A97" s="11" t="inlineStr">
        <is>
          <t>094</t>
        </is>
      </c>
      <c r="B97" s="11" t="inlineStr">
        <is>
          <t>Drop</t>
        </is>
      </c>
    </row>
    <row r="98">
      <c r="A98" s="11" t="inlineStr">
        <is>
          <t>095</t>
        </is>
      </c>
      <c r="B98" s="11" t="inlineStr">
        <is>
          <t>Drop</t>
        </is>
      </c>
    </row>
    <row r="99">
      <c r="A99" s="11" t="inlineStr">
        <is>
          <t>096</t>
        </is>
      </c>
      <c r="B99" s="11" t="inlineStr">
        <is>
          <t>Drop</t>
        </is>
      </c>
    </row>
    <row r="100">
      <c r="A100" s="11" t="inlineStr">
        <is>
          <t>097</t>
        </is>
      </c>
      <c r="B100" s="11" t="inlineStr">
        <is>
          <t>Drop</t>
        </is>
      </c>
    </row>
    <row r="101">
      <c r="A101" s="11" t="inlineStr">
        <is>
          <t>098</t>
        </is>
      </c>
      <c r="B101" s="11" t="inlineStr">
        <is>
          <t>Drop</t>
        </is>
      </c>
    </row>
    <row r="102">
      <c r="A102" s="11" t="inlineStr">
        <is>
          <t>099</t>
        </is>
      </c>
      <c r="B102" s="11" t="inlineStr">
        <is>
          <t>Drop</t>
        </is>
      </c>
    </row>
    <row r="103">
      <c r="A103" s="11" t="inlineStr">
        <is>
          <t>100</t>
        </is>
      </c>
      <c r="B103" s="11" t="inlineStr">
        <is>
          <t>Drop</t>
        </is>
      </c>
    </row>
  </sheetData>
  <dataValidations count="1">
    <dataValidation sqref="C4:C103" showDropDown="0" showInputMessage="0" showErrorMessage="0" allowBlank="1" type="list">
      <formula1>"frei,vorbestellt,Stufe 2,Creator,Reserve,Drop verkauft,retour, frei"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4" customWidth="1" min="4" max="4"/>
    <col width="9" customWidth="1" min="5" max="5"/>
    <col width="9" customWidth="1" min="6" max="6"/>
    <col width="13" customWidth="1" min="7" max="7"/>
    <col width="14" customWidth="1" min="8" max="8"/>
    <col width="9" customWidth="1" min="9" max="9"/>
  </cols>
  <sheetData>
    <row r="1">
      <c r="A1" s="6" t="inlineStr">
        <is>
          <t>Bestand je Größe</t>
        </is>
      </c>
    </row>
    <row r="2">
      <c r="A2" s="7" t="inlineStr">
        <is>
          <t>Drop-Bestand = geliefert − Vorbestellungen − Creator − Reserve. Plan-Verteilung aus der Spec (wird im Januar durch echte Zahlen ersetzt).</t>
        </is>
      </c>
    </row>
    <row r="3" ht="32" customHeight="1">
      <c r="A3" s="9" t="inlineStr">
        <is>
          <t>Größe</t>
        </is>
      </c>
      <c r="B3" s="9" t="inlineStr">
        <is>
          <t>Plan Stück</t>
        </is>
      </c>
      <c r="C3" s="9" t="inlineStr">
        <is>
          <t>geliefert</t>
        </is>
      </c>
      <c r="D3" s="9" t="inlineStr">
        <is>
          <t>Vorbestellungen</t>
        </is>
      </c>
      <c r="E3" s="9" t="inlineStr">
        <is>
          <t>Creator</t>
        </is>
      </c>
      <c r="F3" s="9" t="inlineStr">
        <is>
          <t>Reserve</t>
        </is>
      </c>
      <c r="G3" s="9" t="inlineStr">
        <is>
          <t>Drop-Bestand</t>
        </is>
      </c>
      <c r="H3" s="9" t="inlineStr">
        <is>
          <t>im Drop verkauft</t>
        </is>
      </c>
      <c r="I3" s="9" t="inlineStr">
        <is>
          <t>Rest</t>
        </is>
      </c>
    </row>
    <row r="4">
      <c r="A4" s="11" t="inlineStr">
        <is>
          <t>W30</t>
        </is>
      </c>
      <c r="B4" s="11" t="n">
        <v>14</v>
      </c>
      <c r="G4">
        <f>IF(C4="","",C4-N(D4)-N(E4)-N(F4))</f>
        <v/>
      </c>
      <c r="I4">
        <f>IF(G4="","",G4-N(H4))</f>
        <v/>
      </c>
    </row>
    <row r="5">
      <c r="A5" s="11" t="inlineStr">
        <is>
          <t>W32</t>
        </is>
      </c>
      <c r="B5" s="11" t="n">
        <v>30</v>
      </c>
      <c r="G5">
        <f>IF(C5="","",C5-N(D5)-N(E5)-N(F5))</f>
        <v/>
      </c>
      <c r="I5">
        <f>IF(G5="","",G5-N(H5))</f>
        <v/>
      </c>
    </row>
    <row r="6">
      <c r="A6" s="11" t="inlineStr">
        <is>
          <t>W34</t>
        </is>
      </c>
      <c r="B6" s="11" t="n">
        <v>30</v>
      </c>
      <c r="G6">
        <f>IF(C6="","",C6-N(D6)-N(E6)-N(F6))</f>
        <v/>
      </c>
      <c r="I6">
        <f>IF(G6="","",G6-N(H6))</f>
        <v/>
      </c>
    </row>
    <row r="7">
      <c r="A7" s="11" t="inlineStr">
        <is>
          <t>W36</t>
        </is>
      </c>
      <c r="B7" s="11" t="n">
        <v>18</v>
      </c>
      <c r="G7">
        <f>IF(C7="","",C7-N(D7)-N(E7)-N(F7))</f>
        <v/>
      </c>
      <c r="I7">
        <f>IF(G7="","",G7-N(H7))</f>
        <v/>
      </c>
    </row>
    <row r="8">
      <c r="A8" s="11" t="inlineStr">
        <is>
          <t>W38</t>
        </is>
      </c>
      <c r="B8" s="11" t="n">
        <v>8</v>
      </c>
      <c r="G8">
        <f>IF(C8="","",C8-N(D8)-N(E8)-N(F8))</f>
        <v/>
      </c>
      <c r="I8">
        <f>IF(G8="","",G8-N(H8))</f>
        <v/>
      </c>
    </row>
    <row r="9">
      <c r="A9" s="18" t="inlineStr">
        <is>
          <t>Summe</t>
        </is>
      </c>
      <c r="B9" s="18">
        <f>SUM(B4:B8)</f>
        <v/>
      </c>
      <c r="C9" s="18">
        <f>SUM(C4:C8)</f>
        <v/>
      </c>
      <c r="D9" s="18">
        <f>SUM(D4:D8)</f>
        <v/>
      </c>
      <c r="E9" s="18">
        <f>SUM(E4:E8)</f>
        <v/>
      </c>
      <c r="F9" s="18">
        <f>SUM(F4:F8)</f>
        <v/>
      </c>
      <c r="G9" s="18">
        <f>SUM(G4:G8)</f>
        <v/>
      </c>
      <c r="H9" s="18">
        <f>SUM(H4:H8)</f>
        <v/>
      </c>
      <c r="I9" s="18">
        <f>SUM(I4:I8)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0" customWidth="1" min="4" max="4"/>
    <col width="18" customWidth="1" min="5" max="5"/>
    <col width="12" customWidth="1" min="6" max="6"/>
    <col width="30" customWidth="1" min="7" max="7"/>
  </cols>
  <sheetData>
    <row r="1">
      <c r="A1" s="6" t="inlineStr">
        <is>
          <t>Retouren</t>
        </is>
      </c>
    </row>
    <row r="2">
      <c r="A2" s="7" t="inlineStr">
        <is>
          <t>Grund erfassen: Größe ist laut Recherche der häufigste Retourengrund.</t>
        </is>
      </c>
    </row>
    <row r="3" ht="32" customHeight="1">
      <c r="A3" s="9" t="inlineStr">
        <is>
          <t>Bestellnr.</t>
        </is>
      </c>
      <c r="B3" s="9" t="inlineStr">
        <is>
          <t>Nummer der Jeans</t>
        </is>
      </c>
      <c r="C3" s="9" t="inlineStr">
        <is>
          <t>Datum</t>
        </is>
      </c>
      <c r="D3" s="9" t="inlineStr">
        <is>
          <t>Grund</t>
        </is>
      </c>
      <c r="E3" s="9" t="inlineStr">
        <is>
          <t>Umtausch / Erstattung</t>
        </is>
      </c>
      <c r="F3" s="9" t="inlineStr">
        <is>
          <t>erledigt am</t>
        </is>
      </c>
      <c r="G3" s="9" t="inlineStr">
        <is>
          <t>Notiz</t>
        </is>
      </c>
    </row>
    <row r="4"/>
  </sheetData>
  <dataValidations count="2">
    <dataValidation sqref="D4:D400" showDropDown="0" showInputMessage="0" showErrorMessage="0" allowBlank="1" type="list">
      <formula1>"zu klein,zu groß,Länge,Qualität,gefällt nicht,anderes"</formula1>
    </dataValidation>
    <dataValidation sqref="E4:E400" showDropDown="0" showInputMessage="0" showErrorMessage="0" allowBlank="1" type="list">
      <formula1>"Umtausch,Erstattung"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18" customWidth="1" min="3" max="3"/>
    <col width="30" customWidth="1" min="4" max="4"/>
  </cols>
  <sheetData>
    <row r="1">
      <c r="A1" s="6" t="inlineStr">
        <is>
          <t>Kaufgrund · eine Frage nach dem Kauf</t>
        </is>
      </c>
    </row>
    <row r="2">
      <c r="A2" s="7" t="inlineStr">
        <is>
          <t>Datum, Antwort im Wortlaut, Quellen-Tag.</t>
        </is>
      </c>
    </row>
    <row r="3" ht="32" customHeight="1">
      <c r="A3" s="9" t="inlineStr">
        <is>
          <t>Datum</t>
        </is>
      </c>
      <c r="B3" s="9" t="inlineStr">
        <is>
          <t>Antwort</t>
        </is>
      </c>
      <c r="C3" s="9" t="inlineStr">
        <is>
          <t>Quellen-Tag</t>
        </is>
      </c>
      <c r="D3" s="9" t="inlineStr">
        <is>
          <t>Notiz</t>
        </is>
      </c>
    </row>
    <row r="4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60" customWidth="1" min="5" max="5"/>
  </cols>
  <sheetData>
    <row r="1">
      <c r="A1" s="6" t="inlineStr">
        <is>
          <t>Drop · 22.–25.04.</t>
        </is>
      </c>
    </row>
    <row r="2">
      <c r="A2" s="7" t="inlineStr">
        <is>
          <t>Prüfpunkte: Do 21:00 ≥ 15 · Fr 19:00 ≥ 26 · So ≥ 29 netto.</t>
        </is>
      </c>
    </row>
    <row r="3" ht="32" customHeight="1">
      <c r="A3" s="9" t="inlineStr">
        <is>
          <t>Zeitpunkt</t>
        </is>
      </c>
      <c r="B3" s="9" t="inlineStr">
        <is>
          <t>Soll</t>
        </is>
      </c>
      <c r="C3" s="9" t="inlineStr">
        <is>
          <t>Ist</t>
        </is>
      </c>
      <c r="D3" s="9" t="inlineStr">
        <is>
          <t>ok?</t>
        </is>
      </c>
      <c r="E3" s="9" t="inlineStr">
        <is>
          <t>Maßnahme</t>
        </is>
      </c>
    </row>
    <row r="4">
      <c r="A4" s="11" t="inlineStr">
        <is>
          <t>Do 22.04. 21:00</t>
        </is>
      </c>
      <c r="B4" s="11" t="n">
        <v>15</v>
      </c>
      <c r="C4" s="12" t="n"/>
      <c r="D4">
        <f>IF(C4="","",IF(C4&gt;=B4,"ok","darunter"))</f>
        <v/>
      </c>
    </row>
    <row r="5">
      <c r="A5" s="11" t="inlineStr">
        <is>
          <t>Fr 23.04. 19:00</t>
        </is>
      </c>
      <c r="B5" s="11" t="n">
        <v>26</v>
      </c>
      <c r="C5" s="12" t="n"/>
      <c r="D5">
        <f>IF(C5="","",IF(C5&gt;=B5,"ok","darunter"))</f>
        <v/>
      </c>
    </row>
    <row r="6">
      <c r="A6" s="11" t="inlineStr">
        <is>
          <t>So 25.04. netto</t>
        </is>
      </c>
      <c r="B6" s="11" t="n">
        <v>29</v>
      </c>
      <c r="C6" s="12" t="n"/>
      <c r="D6">
        <f>IF(C6="","",IF(C6&gt;=B6,"ok","darunter"))</f>
        <v/>
      </c>
    </row>
  </sheetData>
  <conditionalFormatting sqref="D4:D6">
    <cfRule type="expression" priority="1" dxfId="0">
      <formula>$D4="ok"</formula>
    </cfRule>
    <cfRule type="expression" priority="2" dxfId="2">
      <formula>$D4="darunter"</formula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3" customWidth="1" min="4" max="4"/>
    <col width="34" customWidth="1" min="5" max="5"/>
    <col width="30" customWidth="1" min="6" max="6"/>
  </cols>
  <sheetData>
    <row r="1">
      <c r="A1" s="6" t="inlineStr">
        <is>
          <t>Website · Bauschritte der Scroll-Story</t>
        </is>
      </c>
    </row>
    <row r="2">
      <c r="A2" s="7" t="inlineStr">
        <is>
          <t>Ein Schritt pro Zeile, Bauplan im Docket (Referenz „Website“).</t>
        </is>
      </c>
    </row>
    <row r="3" ht="32" customHeight="1">
      <c r="A3" s="9" t="inlineStr">
        <is>
          <t>Schritt</t>
        </is>
      </c>
      <c r="B3" s="9" t="inlineStr">
        <is>
          <t>Datum geplant</t>
        </is>
      </c>
      <c r="C3" s="9" t="inlineStr">
        <is>
          <t>erledigt am</t>
        </is>
      </c>
      <c r="D3" s="9" t="inlineStr">
        <is>
          <t>Test bestanden</t>
        </is>
      </c>
      <c r="E3" s="9" t="inlineStr">
        <is>
          <t>Problem</t>
        </is>
      </c>
      <c r="F3" s="9" t="inlineStr">
        <is>
          <t>Notiz</t>
        </is>
      </c>
    </row>
    <row r="4"/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3" customWidth="1" min="3" max="3"/>
    <col width="14" customWidth="1" min="4" max="4"/>
    <col width="12" customWidth="1" min="5" max="5"/>
    <col width="40" customWidth="1" min="6" max="6"/>
  </cols>
  <sheetData>
    <row r="1">
      <c r="A1" s="6" t="inlineStr">
        <is>
          <t>Tools · Konten, Abos, Markenrecherche</t>
        </is>
      </c>
    </row>
    <row r="2">
      <c r="A2" s="7" t="inlineStr">
        <is>
          <t>Keine Passwörter in dieses Blatt.</t>
        </is>
      </c>
    </row>
    <row r="3" ht="32" customHeight="1">
      <c r="A3" s="9" t="inlineStr">
        <is>
          <t>Tool</t>
        </is>
      </c>
      <c r="B3" s="9" t="inlineStr">
        <is>
          <t>Wofür</t>
        </is>
      </c>
      <c r="C3" s="9" t="inlineStr">
        <is>
          <t>Konto angelegt</t>
        </is>
      </c>
      <c r="D3" s="9" t="inlineStr">
        <is>
          <t>Kosten / Monat €</t>
        </is>
      </c>
      <c r="E3" s="9" t="inlineStr">
        <is>
          <t>Kündigen bis</t>
        </is>
      </c>
      <c r="F3" s="9" t="inlineStr">
        <is>
          <t>Notiz</t>
        </is>
      </c>
    </row>
    <row r="4"/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30" customWidth="1" min="4" max="4"/>
    <col width="30" customWidth="1" min="5" max="5"/>
    <col width="30" customWidth="1" min="6" max="6"/>
  </cols>
  <sheetData>
    <row r="1">
      <c r="A1" s="6" t="inlineStr">
        <is>
          <t>Recht und Steuer</t>
        </is>
      </c>
    </row>
    <row r="2">
      <c r="A2" s="7" t="inlineStr">
        <is>
          <t>Steuerberater, Rechtstexte, LUCID, Gewerbe, EORI, GPSR: Stand und Belege.</t>
        </is>
      </c>
    </row>
    <row r="3" ht="32" customHeight="1">
      <c r="A3" s="9" t="inlineStr">
        <is>
          <t>Thema</t>
        </is>
      </c>
      <c r="B3" s="9" t="inlineStr">
        <is>
          <t>Stand</t>
        </is>
      </c>
      <c r="C3" s="9" t="inlineStr">
        <is>
          <t>erledigt am</t>
        </is>
      </c>
      <c r="D3" s="9" t="inlineStr">
        <is>
          <t>Beleg / Link</t>
        </is>
      </c>
      <c r="E3" s="9" t="inlineStr">
        <is>
          <t>Nächster Schritt</t>
        </is>
      </c>
      <c r="F3" s="9" t="inlineStr">
        <is>
          <t>Notiz</t>
        </is>
      </c>
    </row>
    <row r="4">
      <c r="A4" s="11" t="inlineStr">
        <is>
          <t>Gewerbe (Herstellung + Online-Handel)</t>
        </is>
      </c>
    </row>
    <row r="5">
      <c r="A5" s="11" t="inlineStr">
        <is>
          <t>Steuerberater: Kleinunternehmer, EUSt</t>
        </is>
      </c>
    </row>
    <row r="6">
      <c r="A6" s="11" t="inlineStr">
        <is>
          <t>LUCID Verpackungsregister</t>
        </is>
      </c>
    </row>
    <row r="7">
      <c r="A7" s="11" t="inlineStr">
        <is>
          <t>Impressum + Datenschutz</t>
        </is>
      </c>
    </row>
    <row r="8">
      <c r="A8" s="3" t="inlineStr">
        <is>
          <t>AGB, Widerruf, Versand (Rechtstexte-Service)</t>
        </is>
      </c>
    </row>
    <row r="9">
      <c r="A9" s="11" t="inlineStr">
        <is>
          <t>Shopify Payments + Auszahlung</t>
        </is>
      </c>
    </row>
    <row r="10">
      <c r="A10" s="11" t="inlineStr">
        <is>
          <t>EORI (falls Türkei)</t>
        </is>
      </c>
    </row>
    <row r="11">
      <c r="A11" s="11" t="inlineStr">
        <is>
          <t>Pflegeetikett + GPSR-Herstellerangabe</t>
        </is>
      </c>
    </row>
    <row r="12">
      <c r="A12" s="11" t="inlineStr">
        <is>
          <t>Creator-Kennzeichnung</t>
        </is>
      </c>
    </row>
    <row r="13">
      <c r="A13" s="11" t="inlineStr">
        <is>
          <t>Markenrecherche „Novalife“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0" customWidth="1" min="3" max="3"/>
    <col width="30" customWidth="1" min="4" max="4"/>
    <col width="11" customWidth="1" min="5" max="5"/>
    <col width="30" customWidth="1" min="6" max="6"/>
  </cols>
  <sheetData>
    <row r="1">
      <c r="A1" s="6" t="inlineStr">
        <is>
          <t>Entscheidungen · was du wann festlegst</t>
        </is>
      </c>
    </row>
    <row r="2">
      <c r="A2" s="7" t="inlineStr">
        <is>
          <t>Aus dem Urteil im Docket. Eintragen, was du entschieden hast.</t>
        </is>
      </c>
    </row>
    <row r="3" ht="32" customHeight="1">
      <c r="A3" s="9" t="inlineStr">
        <is>
          <t>Bis</t>
        </is>
      </c>
      <c r="B3" s="9" t="inlineStr">
        <is>
          <t>Frage</t>
        </is>
      </c>
      <c r="C3" s="9" t="inlineStr">
        <is>
          <t>Mein Rat</t>
        </is>
      </c>
      <c r="D3" s="9" t="inlineStr">
        <is>
          <t>Entschieden</t>
        </is>
      </c>
      <c r="E3" s="9" t="inlineStr">
        <is>
          <t>am</t>
        </is>
      </c>
      <c r="F3" s="9" t="inlineStr">
        <is>
          <t>Notiz</t>
        </is>
      </c>
    </row>
    <row r="4">
      <c r="A4" s="11" t="inlineStr">
        <is>
          <t>Fr 09.10.</t>
        </is>
      </c>
      <c r="B4" s="3" t="inlineStr">
        <is>
          <t>Serp-Farbe nach Testregel, B2-Kante, V1 Nummer, V5 Patch, V6 Karte, Taschenklappe, Nackenlabel (mit Novalife-Adresse), „goldene Nähte“, Namen nach außen</t>
        </is>
      </c>
      <c r="C4" s="11" t="inlineStr">
        <is>
          <t>wie Abschnitt 12</t>
        </is>
      </c>
    </row>
    <row r="5">
      <c r="A5" s="11" t="inlineStr">
        <is>
          <t>So 11.10.</t>
        </is>
      </c>
      <c r="B5" s="11" t="inlineStr">
        <is>
          <t>Innenbein-Gradierung +1,0 oder +1,5</t>
        </is>
      </c>
      <c r="C5" s="3" t="inlineStr">
        <is>
          <t>kein eigener Rat, mir fehlen Daten. Die Spec steht auf +1,0; ohne Grund für +1,5 bleibt es dabei</t>
        </is>
      </c>
    </row>
    <row r="6">
      <c r="A6" s="11" t="inlineStr">
        <is>
          <t>Do 15.10.</t>
        </is>
      </c>
      <c r="B6" s="3" t="inlineStr">
        <is>
          <t>Wie viel Familie in den Content; Teppich für den Shoot leihen</t>
        </is>
      </c>
      <c r="C6" s="11" t="inlineStr">
        <is>
          <t>über Gegenstände, nicht über Länder</t>
        </is>
      </c>
    </row>
    <row r="7">
      <c r="A7" s="11" t="inlineStr">
        <is>
          <t>So 18.10.</t>
        </is>
      </c>
      <c r="B7" s="11" t="inlineStr">
        <is>
          <t>Pixel-Spiel</t>
        </is>
      </c>
      <c r="C7" s="11" t="inlineStr">
        <is>
          <t>streichen, Scroll-Story B</t>
        </is>
      </c>
    </row>
    <row r="8">
      <c r="A8" s="11" t="inlineStr">
        <is>
          <t>Di 20.10.</t>
        </is>
      </c>
      <c r="B8" s="3" t="inlineStr">
        <is>
          <t>Baum-Referenz: eigene oder fremde Vorlage?</t>
        </is>
      </c>
      <c r="C8" s="3" t="inlineStr">
        <is>
          <t>fremd → Claude zeichnet eine eigene Fassung vor dem 28.10.</t>
        </is>
      </c>
    </row>
    <row r="9">
      <c r="A9" s="11" t="inlineStr">
        <is>
          <t>Di 27.10.</t>
        </is>
      </c>
      <c r="B9" s="11" t="inlineStr">
        <is>
          <t>DAP oder DDP</t>
        </is>
      </c>
      <c r="C9" s="3" t="inlineStr">
        <is>
          <t>DAP, damit die Steuer nicht schon in der Restzahlung steckt</t>
        </is>
      </c>
    </row>
    <row r="10">
      <c r="A10" s="11" t="inlineStr">
        <is>
          <t>Sa 07.11.</t>
        </is>
      </c>
      <c r="B10" s="3" t="inlineStr">
        <is>
          <t>Sprache der Hooks und damit das Liefergebiet; Bildregel „keine Seitenansicht links“</t>
        </is>
      </c>
      <c r="C10" s="3" t="inlineStr">
        <is>
          <t>Test entscheidet; deutsch → nur Versand nach DE bis zum Drop; Bildregel halten</t>
        </is>
      </c>
    </row>
    <row r="11">
      <c r="A11" s="11" t="inlineStr">
        <is>
          <t>So 29.11.</t>
        </is>
      </c>
      <c r="B11" s="3" t="inlineStr">
        <is>
          <t>„Platz in der ersten Stunde sichern“ A (10 €) oder B (kostenlos)</t>
        </is>
      </c>
      <c r="C11" s="3" t="inlineStr">
        <is>
          <t>B, A nur bei Liste &lt; 170 und grünem Recht</t>
        </is>
      </c>
    </row>
    <row r="12">
      <c r="A12" s="11" t="inlineStr">
        <is>
          <t>Fr 11.12.</t>
        </is>
      </c>
      <c r="B12" s="11" t="inlineStr">
        <is>
          <t>Creator-Abmachung 1 Clip + 1 Story</t>
        </is>
      </c>
      <c r="C12" s="11" t="inlineStr">
        <is>
          <t>ja</t>
        </is>
      </c>
    </row>
    <row r="13">
      <c r="A13" s="11" t="inlineStr">
        <is>
          <t>Mo 14.12.</t>
        </is>
      </c>
      <c r="B13" s="11" t="inlineStr">
        <is>
          <t>Liefertext</t>
        </is>
      </c>
      <c r="C13" s="3" t="inlineStr">
        <is>
          <t>„Lieferung bis spätestens 30.04.2027, geplant Anfang April“, überall derselbe Satz</t>
        </is>
      </c>
    </row>
    <row r="14">
      <c r="A14" s="11" t="inlineStr">
        <is>
          <t>Di 15.12.</t>
        </is>
      </c>
      <c r="B14" s="3" t="inlineStr">
        <is>
          <t>Geld-zurück-Regel, Vorbestellgeld bis 01.02. unangetastet</t>
        </is>
      </c>
      <c r="C14" s="11" t="inlineStr">
        <is>
          <t>ja</t>
        </is>
      </c>
    </row>
    <row r="15">
      <c r="A15" s="11" t="inlineStr">
        <is>
          <t>Sa 19.12.</t>
        </is>
      </c>
      <c r="B15" s="3" t="inlineStr">
        <is>
          <t>Stufe 2 zu 169 € statt Kontingent 45; Nummern 001–035 · 036–060 · 061–065 · 066–067 · Rest</t>
        </is>
      </c>
      <c r="C15" s="11" t="inlineStr">
        <is>
          <t>ja</t>
        </is>
      </c>
    </row>
    <row r="16">
      <c r="A16" s="11" t="inlineStr">
        <is>
          <t>Do 31.12.</t>
        </is>
      </c>
      <c r="B16" s="11" t="inlineStr">
        <is>
          <t>Brücke 1.500 € in der Familie</t>
        </is>
      </c>
      <c r="C16" s="11" t="inlineStr">
        <is>
          <t>anfragen, nur als Versicherung</t>
        </is>
      </c>
    </row>
    <row r="17">
      <c r="A17" s="11" t="inlineStr">
        <is>
          <t>So 24.01.</t>
        </is>
      </c>
      <c r="B17" s="11" t="inlineStr">
        <is>
          <t>Mess-Abend 2b (Mi 27.01.)</t>
        </is>
      </c>
      <c r="C17" s="3" t="inlineStr">
        <is>
          <t>ja, wenn am 13.01. &lt; 60 Reservierungen + Zusagen oder Vorbestellungen unter Soll</t>
        </is>
      </c>
    </row>
    <row r="18">
      <c r="A18" s="11" t="inlineStr">
        <is>
          <t>Mo 01.02.</t>
        </is>
      </c>
      <c r="B18" s="3" t="inlineStr">
        <is>
          <t>Mengenformel 100/75; Notfall-Option Zipper bei 7–9</t>
        </is>
      </c>
      <c r="C18" s="11" t="inlineStr">
        <is>
          <t>ja / bereithalten</t>
        </is>
      </c>
    </row>
    <row r="19">
      <c r="A19" s="11" t="inlineStr">
        <is>
          <t>Fr 05.03.</t>
        </is>
      </c>
      <c r="B19" s="11" t="inlineStr">
        <is>
          <t>Drop-Abend Sa 24.04.; Countdown-Stand</t>
        </is>
      </c>
      <c r="C19" s="3" t="inlineStr">
        <is>
          <t>ja nur, wenn Packen Tag 2 an die Helfer geht oder auf So 25.04. rückt / nur unter ~146 €</t>
        </is>
      </c>
    </row>
    <row r="20">
      <c r="A20" s="11" t="inlineStr">
        <is>
          <t>nach dem Drop</t>
        </is>
      </c>
      <c r="B20" s="3" t="inlineStr">
        <is>
          <t>Marke „Novalife“ anmelden; W28 in den Größenlauf</t>
        </is>
      </c>
      <c r="C20" s="3" t="inlineStr">
        <is>
          <t>Markenrecherche vom 16.10. und Nachfrage „kleiner als W30“ auswerten, erst dann rechnen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2026-10-11T12:01:52Z</dcterms:created>
  <dcterms:modified xmlns:dcterms="http://purl.org/dc/terms/" xmlns:xsi="http://www.w3.org/2001/XMLSchema-instance" xsi:type="dcterms:W3CDTF">2026-10-11T12:01:52Z</dcterms:modified>
</cp:coreProperties>
</file>